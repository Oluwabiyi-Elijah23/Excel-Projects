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cuments\Data Analysis with Excel\Excel Portfolio Projects\Bike Sales Project\"/>
    </mc:Choice>
  </mc:AlternateContent>
  <xr:revisionPtr revIDLastSave="0" documentId="13_ncr:1_{4B336C16-47DB-4BCE-826C-28F9E63B165F}" xr6:coauthVersionLast="47" xr6:coauthVersionMax="47" xr10:uidLastSave="{00000000-0000-0000-0000-000000000000}"/>
  <bookViews>
    <workbookView xWindow="-120" yWindow="-120" windowWidth="20730" windowHeight="11760" activeTab="1" xr2:uid="{76523C73-0010-49FF-B598-742B98E75B35}"/>
  </bookViews>
  <sheets>
    <sheet name="Cleaned Data" sheetId="1" r:id="rId1"/>
    <sheet name="Pivot Tables" sheetId="2" r:id="rId2"/>
    <sheet name="Dashboard" sheetId="3" r:id="rId3"/>
  </sheets>
  <definedNames>
    <definedName name="_xlnm._FilterDatabase" localSheetId="0" hidden="1">'Cleaned Data'!$A$1:$N$1002</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<sst xmlns="http://schemas.openxmlformats.org/spreadsheetml/2006/main" count="8046" uniqueCount="47">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</sst>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quot;$&quot;* #,##0_);_(&quot;$&quot;* \(#,##0\);_(&quot;$&quot;* &quot;-&quot;??_);_(@_)"/>
  </numFmts>
  <fonts count="4" x14ac:knownFonts="1">
    <font>
      <sz val="11"/>
      <color theme="1"/>
      <name val="Aptos Narrow"/>
      <family val="2"/>
      <scheme val="minor"/>
    </font>
    <font>
      <u/>
      <sz val="11"/>
      <color theme="1"/>
      <name val="Aptos Narrow"/>
      <family val="2"/>
      <scheme val="minor"/>
    </font>
    <font>
      <sz val="48"/>
      <color theme="1"/>
      <name val="Aptos Narrow"/>
      <family val="2"/>
      <scheme val="minor"/>
    </font>
    <font>
      <b/>
      <sz val="48"/>
      <color theme="0"/>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1">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a:t>
            </a:r>
            <a:endParaRPr lang="en-US"/>
          </a:p>
        </c:rich>
      </c:tx>
      <c:layout>
        <c:manualLayout>
          <c:xMode val="edge"/>
          <c:yMode val="edge"/>
          <c:x val="0.32950893586434477"/>
          <c:y val="4.87264673311184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_("$"* #,##0_);_("$"* \(#,##0\);_("$"* "-"??_);_(@_)</c:formatCode>
                <c:ptCount val="2"/>
                <c:pt idx="0">
                  <c:v>53440</c:v>
                </c:pt>
                <c:pt idx="1">
                  <c:v>56208.178438661707</c:v>
                </c:pt>
              </c:numCache>
            </c:numRef>
          </c:val>
          <c:extLst>
            <c:ext xmlns:c16="http://schemas.microsoft.com/office/drawing/2014/chart" uri="{C3380CC4-5D6E-409C-BE32-E72D297353CC}">
              <c16:uniqueId val="{00000000-61A9-4C43-BCDB-DA361C201156}"/>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1A9-4C43-BCDB-DA361C201156}"/>
            </c:ext>
          </c:extLst>
        </c:ser>
        <c:dLbls>
          <c:showLegendKey val="0"/>
          <c:showVal val="0"/>
          <c:showCatName val="0"/>
          <c:showSerName val="0"/>
          <c:showPercent val="0"/>
          <c:showBubbleSize val="0"/>
        </c:dLbls>
        <c:gapWidth val="219"/>
        <c:overlap val="-27"/>
        <c:axId val="654561856"/>
        <c:axId val="654562336"/>
      </c:barChart>
      <c:catAx>
        <c:axId val="65456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62336"/>
        <c:crosses val="autoZero"/>
        <c:auto val="1"/>
        <c:lblAlgn val="ctr"/>
        <c:lblOffset val="100"/>
        <c:noMultiLvlLbl val="0"/>
      </c:catAx>
      <c:valAx>
        <c:axId val="654562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61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Tables'!$B$23:$B$24</c:f>
              <c:strCache>
                <c:ptCount val="1"/>
                <c:pt idx="0">
                  <c:v>No</c:v>
                </c:pt>
              </c:strCache>
            </c:strRef>
          </c:tx>
          <c:spPr>
            <a:ln w="28575" cap="rnd">
              <a:solidFill>
                <a:schemeClr val="accent1"/>
              </a:solidFill>
              <a:round/>
            </a:ln>
            <a:effectLst/>
          </c:spPr>
          <c:marker>
            <c:symbol val="none"/>
          </c:marker>
          <c:cat>
            <c:strRef>
              <c:f>'Pivot Tables'!$A$25:$A$30</c:f>
              <c:strCache>
                <c:ptCount val="5"/>
                <c:pt idx="0">
                  <c:v>0-1 Miles</c:v>
                </c:pt>
                <c:pt idx="1">
                  <c:v>1-2 Miles</c:v>
                </c:pt>
                <c:pt idx="2">
                  <c:v>2-5 Miles</c:v>
                </c:pt>
                <c:pt idx="3">
                  <c:v>5-10 Miles</c:v>
                </c:pt>
                <c:pt idx="4">
                  <c:v>More than 10 Miles</c:v>
                </c:pt>
              </c:strCache>
            </c:strRef>
          </c:cat>
          <c:val>
            <c:numRef>
              <c:f>'Pivot Tables'!$B$25:$B$30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18E-4489-AD3D-875957CE8CD2}"/>
            </c:ext>
          </c:extLst>
        </c:ser>
        <c:ser>
          <c:idx val="1"/>
          <c:order val="1"/>
          <c:tx>
            <c:strRef>
              <c:f>'Pivot Tables'!$C$23:$C$24</c:f>
              <c:strCache>
                <c:ptCount val="1"/>
                <c:pt idx="0">
                  <c:v>Yes</c:v>
                </c:pt>
              </c:strCache>
            </c:strRef>
          </c:tx>
          <c:spPr>
            <a:ln w="28575" cap="rnd">
              <a:solidFill>
                <a:schemeClr val="accent2"/>
              </a:solidFill>
              <a:round/>
            </a:ln>
            <a:effectLst/>
          </c:spPr>
          <c:marker>
            <c:symbol val="none"/>
          </c:marker>
          <c:cat>
            <c:strRef>
              <c:f>'Pivot Tables'!$A$25:$A$30</c:f>
              <c:strCache>
                <c:ptCount val="5"/>
                <c:pt idx="0">
                  <c:v>0-1 Miles</c:v>
                </c:pt>
                <c:pt idx="1">
                  <c:v>1-2 Miles</c:v>
                </c:pt>
                <c:pt idx="2">
                  <c:v>2-5 Miles</c:v>
                </c:pt>
                <c:pt idx="3">
                  <c:v>5-10 Miles</c:v>
                </c:pt>
                <c:pt idx="4">
                  <c:v>More than 10 Miles</c:v>
                </c:pt>
              </c:strCache>
            </c:strRef>
          </c:cat>
          <c:val>
            <c:numRef>
              <c:f>'Pivot Tables'!$C$25:$C$30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18E-4489-AD3D-875957CE8CD2}"/>
            </c:ext>
          </c:extLst>
        </c:ser>
        <c:dLbls>
          <c:showLegendKey val="0"/>
          <c:showVal val="0"/>
          <c:showCatName val="0"/>
          <c:showSerName val="0"/>
          <c:showPercent val="0"/>
          <c:showBubbleSize val="0"/>
        </c:dLbls>
        <c:smooth val="0"/>
        <c:axId val="1467791872"/>
        <c:axId val="1467789472"/>
      </c:lineChart>
      <c:catAx>
        <c:axId val="146779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41026999532035241"/>
              <c:y val="0.878257656817288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89472"/>
        <c:crosses val="autoZero"/>
        <c:auto val="1"/>
        <c:lblAlgn val="ctr"/>
        <c:lblOffset val="100"/>
        <c:noMultiLvlLbl val="0"/>
      </c:catAx>
      <c:valAx>
        <c:axId val="146778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9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Tables'!$A$43:$A$46</c:f>
              <c:strCache>
                <c:ptCount val="3"/>
                <c:pt idx="0">
                  <c:v>Adolescent</c:v>
                </c:pt>
                <c:pt idx="1">
                  <c:v>Middle Age</c:v>
                </c:pt>
                <c:pt idx="2">
                  <c:v>Old</c:v>
                </c:pt>
              </c:strCache>
            </c:strRef>
          </c:cat>
          <c:val>
            <c:numRef>
              <c:f>'Pivot Tables'!$B$43:$B$46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80E-4C33-9548-C0800FD38280}"/>
            </c:ext>
          </c:extLst>
        </c:ser>
        <c:ser>
          <c:idx val="1"/>
          <c:order val="1"/>
          <c:tx>
            <c:strRef>
              <c:f>'Pivot Tables'!$C$41:$C$42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Tables'!$A$43:$A$46</c:f>
              <c:strCache>
                <c:ptCount val="3"/>
                <c:pt idx="0">
                  <c:v>Adolescent</c:v>
                </c:pt>
                <c:pt idx="1">
                  <c:v>Middle Age</c:v>
                </c:pt>
                <c:pt idx="2">
                  <c:v>Old</c:v>
                </c:pt>
              </c:strCache>
            </c:strRef>
          </c:cat>
          <c:val>
            <c:numRef>
              <c:f>'Pivot Tables'!$C$43:$C$46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80E-4C33-9548-C0800FD38280}"/>
            </c:ext>
          </c:extLst>
        </c:ser>
        <c:dLbls>
          <c:showLegendKey val="0"/>
          <c:showVal val="0"/>
          <c:showCatName val="0"/>
          <c:showSerName val="0"/>
          <c:showPercent val="0"/>
          <c:showBubbleSize val="0"/>
        </c:dLbls>
        <c:marker val="1"/>
        <c:smooth val="0"/>
        <c:axId val="1472512416"/>
        <c:axId val="1472512896"/>
      </c:lineChart>
      <c:catAx>
        <c:axId val="147251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46150226719215176"/>
              <c:y val="0.896911871217774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12896"/>
        <c:crosses val="autoZero"/>
        <c:auto val="1"/>
        <c:lblAlgn val="ctr"/>
        <c:lblOffset val="100"/>
        <c:noMultiLvlLbl val="0"/>
      </c:catAx>
      <c:valAx>
        <c:axId val="147251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12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a:t>
            </a:r>
            <a:endParaRPr lang="en-US"/>
          </a:p>
        </c:rich>
      </c:tx>
      <c:layout>
        <c:manualLayout>
          <c:xMode val="edge"/>
          <c:yMode val="edge"/>
          <c:x val="0.25913852435112278"/>
          <c:y val="4.3147868150481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_("$"* #,##0_);_("$"* \(#,##0\);_("$"* "-"??_);_(@_)</c:formatCode>
                <c:ptCount val="2"/>
                <c:pt idx="0">
                  <c:v>53440</c:v>
                </c:pt>
                <c:pt idx="1">
                  <c:v>56208.178438661707</c:v>
                </c:pt>
              </c:numCache>
            </c:numRef>
          </c:val>
          <c:extLst>
            <c:ext xmlns:c16="http://schemas.microsoft.com/office/drawing/2014/chart" uri="{C3380CC4-5D6E-409C-BE32-E72D297353CC}">
              <c16:uniqueId val="{00000000-9128-4FA4-B325-1B20812D9B15}"/>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28-4FA4-B325-1B20812D9B15}"/>
            </c:ext>
          </c:extLst>
        </c:ser>
        <c:dLbls>
          <c:showLegendKey val="0"/>
          <c:showVal val="0"/>
          <c:showCatName val="0"/>
          <c:showSerName val="0"/>
          <c:showPercent val="0"/>
          <c:showBubbleSize val="0"/>
        </c:dLbls>
        <c:gapWidth val="219"/>
        <c:overlap val="-27"/>
        <c:axId val="654561856"/>
        <c:axId val="654562336"/>
      </c:barChart>
      <c:catAx>
        <c:axId val="65456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6461664514157947"/>
              <c:y val="0.881701262566583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62336"/>
        <c:crosses val="autoZero"/>
        <c:auto val="1"/>
        <c:lblAlgn val="ctr"/>
        <c:lblOffset val="100"/>
        <c:noMultiLvlLbl val="0"/>
      </c:catAx>
      <c:valAx>
        <c:axId val="654562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61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Tables'!$B$23:$B$24</c:f>
              <c:strCache>
                <c:ptCount val="1"/>
                <c:pt idx="0">
                  <c:v>No</c:v>
                </c:pt>
              </c:strCache>
            </c:strRef>
          </c:tx>
          <c:spPr>
            <a:ln w="28575" cap="rnd">
              <a:solidFill>
                <a:schemeClr val="accent1"/>
              </a:solidFill>
              <a:round/>
            </a:ln>
            <a:effectLst/>
          </c:spPr>
          <c:marker>
            <c:symbol val="none"/>
          </c:marker>
          <c:cat>
            <c:strRef>
              <c:f>'Pivot Tables'!$A$25:$A$30</c:f>
              <c:strCache>
                <c:ptCount val="5"/>
                <c:pt idx="0">
                  <c:v>0-1 Miles</c:v>
                </c:pt>
                <c:pt idx="1">
                  <c:v>1-2 Miles</c:v>
                </c:pt>
                <c:pt idx="2">
                  <c:v>2-5 Miles</c:v>
                </c:pt>
                <c:pt idx="3">
                  <c:v>5-10 Miles</c:v>
                </c:pt>
                <c:pt idx="4">
                  <c:v>More than 10 Miles</c:v>
                </c:pt>
              </c:strCache>
            </c:strRef>
          </c:cat>
          <c:val>
            <c:numRef>
              <c:f>'Pivot Tables'!$B$25:$B$30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730-481B-B754-22CD521FD40D}"/>
            </c:ext>
          </c:extLst>
        </c:ser>
        <c:ser>
          <c:idx val="1"/>
          <c:order val="1"/>
          <c:tx>
            <c:strRef>
              <c:f>'Pivot Tables'!$C$23:$C$24</c:f>
              <c:strCache>
                <c:ptCount val="1"/>
                <c:pt idx="0">
                  <c:v>Yes</c:v>
                </c:pt>
              </c:strCache>
            </c:strRef>
          </c:tx>
          <c:spPr>
            <a:ln w="28575" cap="rnd">
              <a:solidFill>
                <a:schemeClr val="accent2"/>
              </a:solidFill>
              <a:round/>
            </a:ln>
            <a:effectLst/>
          </c:spPr>
          <c:marker>
            <c:symbol val="none"/>
          </c:marker>
          <c:cat>
            <c:strRef>
              <c:f>'Pivot Tables'!$A$25:$A$30</c:f>
              <c:strCache>
                <c:ptCount val="5"/>
                <c:pt idx="0">
                  <c:v>0-1 Miles</c:v>
                </c:pt>
                <c:pt idx="1">
                  <c:v>1-2 Miles</c:v>
                </c:pt>
                <c:pt idx="2">
                  <c:v>2-5 Miles</c:v>
                </c:pt>
                <c:pt idx="3">
                  <c:v>5-10 Miles</c:v>
                </c:pt>
                <c:pt idx="4">
                  <c:v>More than 10 Miles</c:v>
                </c:pt>
              </c:strCache>
            </c:strRef>
          </c:cat>
          <c:val>
            <c:numRef>
              <c:f>'Pivot Tables'!$C$25:$C$30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730-481B-B754-22CD521FD40D}"/>
            </c:ext>
          </c:extLst>
        </c:ser>
        <c:dLbls>
          <c:showLegendKey val="0"/>
          <c:showVal val="0"/>
          <c:showCatName val="0"/>
          <c:showSerName val="0"/>
          <c:showPercent val="0"/>
          <c:showBubbleSize val="0"/>
        </c:dLbls>
        <c:smooth val="0"/>
        <c:axId val="1467791872"/>
        <c:axId val="1467789472"/>
      </c:lineChart>
      <c:catAx>
        <c:axId val="146779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43677102580929894"/>
              <c:y val="0.902677512494596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89472"/>
        <c:crosses val="autoZero"/>
        <c:auto val="1"/>
        <c:lblAlgn val="ctr"/>
        <c:lblOffset val="100"/>
        <c:noMultiLvlLbl val="0"/>
      </c:catAx>
      <c:valAx>
        <c:axId val="146778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9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Tables'!$A$43:$A$46</c:f>
              <c:strCache>
                <c:ptCount val="3"/>
                <c:pt idx="0">
                  <c:v>Adolescent</c:v>
                </c:pt>
                <c:pt idx="1">
                  <c:v>Middle Age</c:v>
                </c:pt>
                <c:pt idx="2">
                  <c:v>Old</c:v>
                </c:pt>
              </c:strCache>
            </c:strRef>
          </c:cat>
          <c:val>
            <c:numRef>
              <c:f>'Pivot Tables'!$B$43:$B$46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745-4A26-9326-93A927C24190}"/>
            </c:ext>
          </c:extLst>
        </c:ser>
        <c:ser>
          <c:idx val="1"/>
          <c:order val="1"/>
          <c:tx>
            <c:strRef>
              <c:f>'Pivot Tables'!$C$41:$C$42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Tables'!$A$43:$A$46</c:f>
              <c:strCache>
                <c:ptCount val="3"/>
                <c:pt idx="0">
                  <c:v>Adolescent</c:v>
                </c:pt>
                <c:pt idx="1">
                  <c:v>Middle Age</c:v>
                </c:pt>
                <c:pt idx="2">
                  <c:v>Old</c:v>
                </c:pt>
              </c:strCache>
            </c:strRef>
          </c:cat>
          <c:val>
            <c:numRef>
              <c:f>'Pivot Tables'!$C$43:$C$46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745-4A26-9326-93A927C24190}"/>
            </c:ext>
          </c:extLst>
        </c:ser>
        <c:dLbls>
          <c:showLegendKey val="0"/>
          <c:showVal val="0"/>
          <c:showCatName val="0"/>
          <c:showSerName val="0"/>
          <c:showPercent val="0"/>
          <c:showBubbleSize val="0"/>
        </c:dLbls>
        <c:marker val="1"/>
        <c:smooth val="0"/>
        <c:axId val="1472512416"/>
        <c:axId val="1472512896"/>
      </c:lineChart>
      <c:catAx>
        <c:axId val="147251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4295278560214143"/>
              <c:y val="0.885777792420298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12896"/>
        <c:crosses val="autoZero"/>
        <c:auto val="1"/>
        <c:lblAlgn val="ctr"/>
        <c:lblOffset val="100"/>
        <c:noMultiLvlLbl val="0"/>
      </c:catAx>
      <c:valAx>
        <c:axId val="147251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12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590550</xdr:colOff>
      <xdr:row>2</xdr:row>
      <xdr:rowOff>161925</xdr:rowOff>
    </xdr:from>
    <xdr:to>
      <xdr:col>13</xdr:col>
      <xdr:colOff>0</xdr:colOff>
      <xdr:row>18</xdr:row>
      <xdr:rowOff>9526</xdr:rowOff>
    </xdr:to>
    <xdr:graphicFrame macro="">
      <xdr:nvGraphicFramePr>
        <xdr:cNvPr id="2" name="Chart 1">
          <a:extLst>
            <a:ext uri="{FF2B5EF4-FFF2-40B4-BE49-F238E27FC236}">
              <a16:creationId xmlns:a16="http://schemas.microsoft.com/office/drawing/2014/main" id="{D9377ADD-C9CD-0922-EDB1-43B848D06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22</xdr:row>
      <xdr:rowOff>0</xdr:rowOff>
    </xdr:from>
    <xdr:to>
      <xdr:col>13</xdr:col>
      <xdr:colOff>9525</xdr:colOff>
      <xdr:row>37</xdr:row>
      <xdr:rowOff>0</xdr:rowOff>
    </xdr:to>
    <xdr:graphicFrame macro="">
      <xdr:nvGraphicFramePr>
        <xdr:cNvPr id="3" name="Chart 2">
          <a:extLst>
            <a:ext uri="{FF2B5EF4-FFF2-40B4-BE49-F238E27FC236}">
              <a16:creationId xmlns:a16="http://schemas.microsoft.com/office/drawing/2014/main" id="{057387E4-B357-BB99-41EF-42FBBC9B7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552449</xdr:colOff>
      <xdr:row>39</xdr:row>
      <xdr:rowOff>133351</xdr:rowOff>
    </xdr:from>
    <xdr:to>
      <xdr:col>13</xdr:col>
      <xdr:colOff>28575</xdr:colOff>
      <xdr:row>56</xdr:row>
      <xdr:rowOff>0</xdr:rowOff>
    </xdr:to>
    <xdr:graphicFrame macro="">
      <xdr:nvGraphicFramePr>
        <xdr:cNvPr id="4" name="Chart 3">
          <a:extLst>
            <a:ext uri="{FF2B5EF4-FFF2-40B4-BE49-F238E27FC236}">
              <a16:creationId xmlns:a16="http://schemas.microsoft.com/office/drawing/2014/main" id="{25B6F596-E668-86BB-6939-A38574B84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4</xdr:row>
      <xdr:rowOff>9525</xdr:rowOff>
    </xdr:from>
    <xdr:to>
      <xdr:col>8</xdr:col>
      <xdr:colOff>238125</xdr:colOff>
      <xdr:row>15</xdr:row>
      <xdr:rowOff>190499</xdr:rowOff>
    </xdr:to>
    <xdr:graphicFrame macro="">
      <xdr:nvGraphicFramePr>
        <xdr:cNvPr id="2" name="Chart 1">
          <a:extLst>
            <a:ext uri="{FF2B5EF4-FFF2-40B4-BE49-F238E27FC236}">
              <a16:creationId xmlns:a16="http://schemas.microsoft.com/office/drawing/2014/main" id="{65FC8B51-3957-4EFF-8F52-7EFAE0ADA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219074</xdr:colOff>
      <xdr:row>16</xdr:row>
      <xdr:rowOff>95251</xdr:rowOff>
    </xdr:from>
    <xdr:to>
      <xdr:col>15</xdr:col>
      <xdr:colOff>9525</xdr:colOff>
      <xdr:row>30</xdr:row>
      <xdr:rowOff>28575</xdr:rowOff>
    </xdr:to>
    <xdr:graphicFrame macro="">
      <xdr:nvGraphicFramePr>
        <xdr:cNvPr id="3" name="Chart 2">
          <a:extLst>
            <a:ext uri="{FF2B5EF4-FFF2-40B4-BE49-F238E27FC236}">
              <a16:creationId xmlns:a16="http://schemas.microsoft.com/office/drawing/2014/main" id="{6238D297-6D98-468F-A109-114495878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295276</xdr:colOff>
      <xdr:row>4</xdr:row>
      <xdr:rowOff>9525</xdr:rowOff>
    </xdr:from>
    <xdr:to>
      <xdr:col>15</xdr:col>
      <xdr:colOff>0</xdr:colOff>
      <xdr:row>16</xdr:row>
      <xdr:rowOff>0</xdr:rowOff>
    </xdr:to>
    <xdr:graphicFrame macro="">
      <xdr:nvGraphicFramePr>
        <xdr:cNvPr id="4" name="Chart 3">
          <a:extLst>
            <a:ext uri="{FF2B5EF4-FFF2-40B4-BE49-F238E27FC236}">
              <a16:creationId xmlns:a16="http://schemas.microsoft.com/office/drawing/2014/main" id="{85BA9419-13CF-451A-9463-538A3D371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9525</xdr:rowOff>
    </xdr:from>
    <xdr:to>
      <xdr:col>2</xdr:col>
      <xdr:colOff>209549</xdr:colOff>
      <xdr:row>9</xdr:row>
      <xdr:rowOff>95250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E397401-D873-42AE-11E5-3AD18744CCE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771525"/>
              <a:ext cx="1428749"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76200</xdr:rowOff>
    </xdr:from>
    <xdr:to>
      <xdr:col>2</xdr:col>
      <xdr:colOff>219074</xdr:colOff>
      <xdr:row>30</xdr:row>
      <xdr:rowOff>28575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7F95BD2-5AC5-5AD1-43A1-7BE16DA001E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14700"/>
              <a:ext cx="1438274"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38100</xdr:rowOff>
    </xdr:from>
    <xdr:to>
      <xdr:col>2</xdr:col>
      <xdr:colOff>219075</xdr:colOff>
      <xdr:row>16</xdr:row>
      <xdr:rowOff>152400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777D7D2-BB61-357B-9077-04066E6393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43100"/>
              <a:ext cx="143827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biyi Elijah" refreshedDate="46178.890315856479" createdVersion="8" refreshedVersion="8" minRefreshableVersion="3" recordCount="1000" xr:uid="{2CD49BD1-57EA-435D-8F4A-5030127562E6}">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99496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7AD7D-3837-4000-8376-B37D73051F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3AF5A8-83D5-485C-8A4E-702C8C14F2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299A3A-D84E-4D67-A6B5-D64833B444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3B9B73D-4134-4808-87EC-5C07FCB47CE6}" sourceName="Marital Status">
  <pivotTables>
    <pivotTable tabId="2" name="PivotTable1"/>
    <pivotTable tabId="2" name="PivotTable2"/>
    <pivotTable tabId="2" name="PivotTable3"/>
  </pivotTables>
  <data>
    <tabular pivotCacheId="19994967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46C3945-A6CF-4539-8C16-FB12BEC7B8FF}" sourceName="Education">
  <pivotTables>
    <pivotTable tabId="2" name="PivotTable1"/>
    <pivotTable tabId="2" name="PivotTable2"/>
    <pivotTable tabId="2" name="PivotTable3"/>
  </pivotTables>
  <data>
    <tabular pivotCacheId="199949672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7D8A2F-4920-429A-96E1-7F025D478F58}" sourceName="Region">
  <pivotTables>
    <pivotTable tabId="2" name="PivotTable1"/>
    <pivotTable tabId="2" name="PivotTable2"/>
    <pivotTable tabId="2" name="PivotTable3"/>
  </pivotTables>
  <data>
    <tabular pivotCacheId="199949672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BDACA17-6120-491D-B50F-9BF2FDCBA626}" cache="Slicer_Marital_Status" caption="Marital Status" rowHeight="257175"/>
  <slicer name="Education" xr10:uid="{56E86108-0187-4910-9A44-98F661350369}" cache="Slicer_Education" caption="Education" rowHeight="257175"/>
  <slicer name="Region" xr10:uid="{0EE46655-FFFB-42E4-AA1E-D025266861C1}"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173-704A-4AA7-A342-D8938FF95C37}">
  <dimension ref="A1:N1027"/>
  <sheetViews>
    <sheetView workbookViewId="0">
      <selection activeCell="G13" sqref="G13"/>
    </sheetView>
  </sheetViews>
  <sheetFormatPr defaultRowHeight="15" x14ac:dyDescent="0.25"/>
  <cols>
    <col min="1" max="1" width="6" bestFit="1" customWidth="1"/>
    <col min="2" max="2" width="17.42578125" customWidth="1"/>
    <col min="3" max="3" width="9.5703125" bestFit="1" customWidth="1"/>
    <col min="4" max="4" width="11.140625" style="2" bestFit="1" customWidth="1"/>
    <col min="5" max="5" width="10.7109375" bestFit="1" customWidth="1"/>
    <col min="6" max="6" width="18" bestFit="1" customWidth="1"/>
    <col min="7" max="7" width="14.140625" bestFit="1" customWidth="1"/>
    <col min="8" max="8" width="14.5703125" bestFit="1" customWidth="1"/>
    <col min="9" max="9" width="7.28515625" bestFit="1" customWidth="1"/>
    <col min="10" max="10" width="20.140625" bestFit="1" customWidth="1"/>
    <col min="11" max="11" width="13.85546875" bestFit="1" customWidth="1"/>
    <col min="12" max="12" width="6.42578125" bestFit="1" customWidth="1"/>
    <col min="13" max="13" width="17.85546875" customWidth="1"/>
    <col min="14" max="14" width="17" bestFit="1" customWidth="1"/>
  </cols>
  <sheetData>
    <row r="1" spans="1:14" x14ac:dyDescent="0.25">
      <c r="A1" t="s">
        <v>0</v>
      </c>
      <c r="B1" t="s">
        <v>1</v>
      </c>
      <c r="C1" t="s">
        <v>2</v>
      </c>
      <c r="D1" s="2" t="s">
        <v>3</v>
      </c>
      <c r="E1" t="s">
        <v>4</v>
      </c>
      <c r="F1" t="s">
        <v>5</v>
      </c>
      <c r="G1" t="s">
        <v>6</v>
      </c>
      <c r="H1" t="s">
        <v>7</v>
      </c>
      <c r="I1" t="s">
        <v>8</v>
      </c>
      <c r="J1" t="s">
        <v>9</v>
      </c>
      <c r="K1" t="s">
        <v>10</v>
      </c>
      <c r="L1" t="s">
        <v>11</v>
      </c>
      <c r="M1" t="s">
        <v>36</v>
      </c>
      <c r="N1" t="s">
        <v>12</v>
      </c>
    </row>
    <row r="2" spans="1:14" x14ac:dyDescent="0.25">
      <c r="A2">
        <v>12496</v>
      </c>
      <c r="B2" t="s">
        <v>32</v>
      </c>
      <c r="C2" t="s">
        <v>34</v>
      </c>
      <c r="D2" s="2">
        <v>40000</v>
      </c>
      <c r="E2">
        <v>1</v>
      </c>
      <c r="F2" t="s">
        <v>13</v>
      </c>
      <c r="G2" t="s">
        <v>14</v>
      </c>
      <c r="H2" t="s">
        <v>15</v>
      </c>
      <c r="I2">
        <v>0</v>
      </c>
      <c r="J2" t="s">
        <v>16</v>
      </c>
      <c r="K2" t="s">
        <v>17</v>
      </c>
      <c r="L2">
        <v>42</v>
      </c>
      <c r="M2" t="str">
        <f t="shared" ref="M2:M65" si="0">IF(L2&gt;54,"Old",IF(L2&gt;=31,"Middle Age",IF(L2&lt;31,"Adolescent","Invalid")))</f>
        <v>Middle Age</v>
      </c>
      <c r="N2" t="s">
        <v>18</v>
      </c>
    </row>
    <row r="3" spans="1:14" x14ac:dyDescent="0.25">
      <c r="A3">
        <v>24107</v>
      </c>
      <c r="B3" t="s">
        <v>32</v>
      </c>
      <c r="C3" t="s">
        <v>35</v>
      </c>
      <c r="D3" s="2">
        <v>30000</v>
      </c>
      <c r="E3">
        <v>3</v>
      </c>
      <c r="F3" t="s">
        <v>19</v>
      </c>
      <c r="G3" t="s">
        <v>20</v>
      </c>
      <c r="H3" t="s">
        <v>15</v>
      </c>
      <c r="I3">
        <v>1</v>
      </c>
      <c r="J3" t="s">
        <v>16</v>
      </c>
      <c r="K3" t="s">
        <v>17</v>
      </c>
      <c r="L3">
        <v>43</v>
      </c>
      <c r="M3" t="str">
        <f t="shared" si="0"/>
        <v>Middle Age</v>
      </c>
      <c r="N3" t="s">
        <v>18</v>
      </c>
    </row>
    <row r="4" spans="1:14" x14ac:dyDescent="0.25">
      <c r="A4">
        <v>14177</v>
      </c>
      <c r="B4" t="s">
        <v>32</v>
      </c>
      <c r="C4" t="s">
        <v>35</v>
      </c>
      <c r="D4" s="2">
        <v>80000</v>
      </c>
      <c r="E4">
        <v>5</v>
      </c>
      <c r="F4" t="s">
        <v>19</v>
      </c>
      <c r="G4" t="s">
        <v>21</v>
      </c>
      <c r="H4" t="s">
        <v>18</v>
      </c>
      <c r="I4">
        <v>2</v>
      </c>
      <c r="J4" t="s">
        <v>22</v>
      </c>
      <c r="K4" t="s">
        <v>17</v>
      </c>
      <c r="L4">
        <v>60</v>
      </c>
      <c r="M4" t="str">
        <f t="shared" si="0"/>
        <v>Old</v>
      </c>
      <c r="N4" t="s">
        <v>18</v>
      </c>
    </row>
    <row r="5" spans="1:14" x14ac:dyDescent="0.25">
      <c r="A5">
        <v>24381</v>
      </c>
      <c r="B5" t="s">
        <v>33</v>
      </c>
      <c r="C5" t="s">
        <v>35</v>
      </c>
      <c r="D5" s="2">
        <v>70000</v>
      </c>
      <c r="E5">
        <v>0</v>
      </c>
      <c r="F5" t="s">
        <v>13</v>
      </c>
      <c r="G5" t="s">
        <v>21</v>
      </c>
      <c r="H5" t="s">
        <v>15</v>
      </c>
      <c r="I5">
        <v>1</v>
      </c>
      <c r="J5" t="s">
        <v>23</v>
      </c>
      <c r="K5" t="s">
        <v>24</v>
      </c>
      <c r="L5">
        <v>41</v>
      </c>
      <c r="M5" t="str">
        <f t="shared" si="0"/>
        <v>Middle Age</v>
      </c>
      <c r="N5" t="s">
        <v>15</v>
      </c>
    </row>
    <row r="6" spans="1:14" x14ac:dyDescent="0.25">
      <c r="A6">
        <v>25597</v>
      </c>
      <c r="B6" t="s">
        <v>33</v>
      </c>
      <c r="C6" t="s">
        <v>35</v>
      </c>
      <c r="D6" s="2">
        <v>30000</v>
      </c>
      <c r="E6">
        <v>0</v>
      </c>
      <c r="F6" t="s">
        <v>13</v>
      </c>
      <c r="G6" t="s">
        <v>20</v>
      </c>
      <c r="H6" t="s">
        <v>18</v>
      </c>
      <c r="I6">
        <v>0</v>
      </c>
      <c r="J6" t="s">
        <v>16</v>
      </c>
      <c r="K6" t="s">
        <v>17</v>
      </c>
      <c r="L6">
        <v>36</v>
      </c>
      <c r="M6" t="str">
        <f t="shared" si="0"/>
        <v>Middle Age</v>
      </c>
      <c r="N6" t="s">
        <v>15</v>
      </c>
    </row>
    <row r="7" spans="1:14" x14ac:dyDescent="0.25">
      <c r="A7">
        <v>13507</v>
      </c>
      <c r="B7" t="s">
        <v>32</v>
      </c>
      <c r="C7" t="s">
        <v>34</v>
      </c>
      <c r="D7" s="2">
        <v>10000</v>
      </c>
      <c r="E7">
        <v>2</v>
      </c>
      <c r="F7" t="s">
        <v>19</v>
      </c>
      <c r="G7" t="s">
        <v>25</v>
      </c>
      <c r="H7" t="s">
        <v>15</v>
      </c>
      <c r="I7">
        <v>0</v>
      </c>
      <c r="J7" t="s">
        <v>26</v>
      </c>
      <c r="K7" t="s">
        <v>17</v>
      </c>
      <c r="L7">
        <v>50</v>
      </c>
      <c r="M7" t="str">
        <f t="shared" si="0"/>
        <v>Middle Age</v>
      </c>
      <c r="N7" t="s">
        <v>18</v>
      </c>
    </row>
    <row r="8" spans="1:14" x14ac:dyDescent="0.25">
      <c r="A8">
        <v>27974</v>
      </c>
      <c r="B8" t="s">
        <v>33</v>
      </c>
      <c r="C8" t="s">
        <v>35</v>
      </c>
      <c r="D8" s="2">
        <v>160000</v>
      </c>
      <c r="E8">
        <v>2</v>
      </c>
      <c r="F8" t="s">
        <v>27</v>
      </c>
      <c r="G8" t="s">
        <v>28</v>
      </c>
      <c r="H8" t="s">
        <v>15</v>
      </c>
      <c r="I8">
        <v>4</v>
      </c>
      <c r="J8" t="s">
        <v>16</v>
      </c>
      <c r="K8" t="s">
        <v>24</v>
      </c>
      <c r="L8">
        <v>33</v>
      </c>
      <c r="M8" t="str">
        <f t="shared" si="0"/>
        <v>Middle Age</v>
      </c>
      <c r="N8" t="s">
        <v>15</v>
      </c>
    </row>
    <row r="9" spans="1:14" x14ac:dyDescent="0.25">
      <c r="A9">
        <v>19364</v>
      </c>
      <c r="B9" t="s">
        <v>32</v>
      </c>
      <c r="C9" t="s">
        <v>35</v>
      </c>
      <c r="D9" s="2">
        <v>40000</v>
      </c>
      <c r="E9">
        <v>1</v>
      </c>
      <c r="F9" t="s">
        <v>13</v>
      </c>
      <c r="G9" t="s">
        <v>14</v>
      </c>
      <c r="H9" t="s">
        <v>15</v>
      </c>
      <c r="I9">
        <v>0</v>
      </c>
      <c r="J9" t="s">
        <v>16</v>
      </c>
      <c r="K9" t="s">
        <v>17</v>
      </c>
      <c r="L9">
        <v>43</v>
      </c>
      <c r="M9" t="str">
        <f t="shared" si="0"/>
        <v>Middle Age</v>
      </c>
      <c r="N9" t="s">
        <v>15</v>
      </c>
    </row>
    <row r="10" spans="1:14" x14ac:dyDescent="0.25">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25">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25">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25">
      <c r="A13">
        <v>12697</v>
      </c>
      <c r="B13" t="s">
        <v>33</v>
      </c>
      <c r="C13" t="s">
        <v>34</v>
      </c>
      <c r="D13" s="2">
        <v>90000</v>
      </c>
      <c r="E13">
        <v>0</v>
      </c>
      <c r="F13" t="s">
        <v>13</v>
      </c>
      <c r="G13" t="s">
        <v>21</v>
      </c>
      <c r="H13" t="s">
        <v>18</v>
      </c>
      <c r="I13">
        <v>4</v>
      </c>
      <c r="J13" t="s">
        <v>42</v>
      </c>
      <c r="K13" t="s">
        <v>24</v>
      </c>
      <c r="L13">
        <v>36</v>
      </c>
      <c r="M13" t="str">
        <f t="shared" si="0"/>
        <v>Middle Age</v>
      </c>
      <c r="N13" t="s">
        <v>18</v>
      </c>
    </row>
    <row r="14" spans="1:14" x14ac:dyDescent="0.25">
      <c r="A14">
        <v>11434</v>
      </c>
      <c r="B14" t="s">
        <v>32</v>
      </c>
      <c r="C14" t="s">
        <v>35</v>
      </c>
      <c r="D14" s="2">
        <v>170000</v>
      </c>
      <c r="E14">
        <v>5</v>
      </c>
      <c r="F14" t="s">
        <v>19</v>
      </c>
      <c r="G14" t="s">
        <v>21</v>
      </c>
      <c r="H14" t="s">
        <v>15</v>
      </c>
      <c r="I14">
        <v>0</v>
      </c>
      <c r="J14" t="s">
        <v>16</v>
      </c>
      <c r="K14" t="s">
        <v>17</v>
      </c>
      <c r="L14">
        <v>55</v>
      </c>
      <c r="M14" t="str">
        <f t="shared" si="0"/>
        <v>Old</v>
      </c>
      <c r="N14" t="s">
        <v>18</v>
      </c>
    </row>
    <row r="15" spans="1:14" x14ac:dyDescent="0.25">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25">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25">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25">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25">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25">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25">
      <c r="A21">
        <v>25940</v>
      </c>
      <c r="B21" t="s">
        <v>33</v>
      </c>
      <c r="C21" t="s">
        <v>35</v>
      </c>
      <c r="D21" s="2">
        <v>20000</v>
      </c>
      <c r="E21">
        <v>2</v>
      </c>
      <c r="F21" t="s">
        <v>29</v>
      </c>
      <c r="G21" t="s">
        <v>20</v>
      </c>
      <c r="H21" t="s">
        <v>15</v>
      </c>
      <c r="I21">
        <v>2</v>
      </c>
      <c r="J21" t="s">
        <v>23</v>
      </c>
      <c r="K21" t="s">
        <v>24</v>
      </c>
      <c r="L21">
        <v>55</v>
      </c>
      <c r="M21" t="str">
        <f t="shared" si="0"/>
        <v>Old</v>
      </c>
      <c r="N21" t="s">
        <v>15</v>
      </c>
    </row>
    <row r="22" spans="1:14" x14ac:dyDescent="0.25">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25">
      <c r="A23">
        <v>21564</v>
      </c>
      <c r="B23" t="s">
        <v>33</v>
      </c>
      <c r="C23" t="s">
        <v>34</v>
      </c>
      <c r="D23" s="2">
        <v>80000</v>
      </c>
      <c r="E23">
        <v>0</v>
      </c>
      <c r="F23" t="s">
        <v>13</v>
      </c>
      <c r="G23" t="s">
        <v>21</v>
      </c>
      <c r="H23" t="s">
        <v>15</v>
      </c>
      <c r="I23">
        <v>4</v>
      </c>
      <c r="J23" t="s">
        <v>42</v>
      </c>
      <c r="K23" t="s">
        <v>24</v>
      </c>
      <c r="L23">
        <v>35</v>
      </c>
      <c r="M23" t="str">
        <f t="shared" si="0"/>
        <v>Middle Age</v>
      </c>
      <c r="N23" t="s">
        <v>18</v>
      </c>
    </row>
    <row r="24" spans="1:14" x14ac:dyDescent="0.25">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25">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25">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25">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25">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25">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25">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25">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25">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25">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25">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25">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25">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25">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25">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25">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25">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25">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25">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25">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25">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25">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25">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25">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25">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25">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25">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25">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25">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25">
      <c r="A53">
        <v>20619</v>
      </c>
      <c r="B53" t="s">
        <v>33</v>
      </c>
      <c r="C53" t="s">
        <v>35</v>
      </c>
      <c r="D53" s="2">
        <v>80000</v>
      </c>
      <c r="E53">
        <v>0</v>
      </c>
      <c r="F53" t="s">
        <v>13</v>
      </c>
      <c r="G53" t="s">
        <v>21</v>
      </c>
      <c r="H53" t="s">
        <v>18</v>
      </c>
      <c r="I53">
        <v>4</v>
      </c>
      <c r="J53" t="s">
        <v>42</v>
      </c>
      <c r="K53" t="s">
        <v>24</v>
      </c>
      <c r="L53">
        <v>35</v>
      </c>
      <c r="M53" t="str">
        <f t="shared" si="0"/>
        <v>Middle Age</v>
      </c>
      <c r="N53" t="s">
        <v>18</v>
      </c>
    </row>
    <row r="54" spans="1:14" x14ac:dyDescent="0.25">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25">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25">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25">
      <c r="A57">
        <v>28906</v>
      </c>
      <c r="B57" t="s">
        <v>32</v>
      </c>
      <c r="C57" t="s">
        <v>35</v>
      </c>
      <c r="D57" s="2">
        <v>80000</v>
      </c>
      <c r="E57">
        <v>4</v>
      </c>
      <c r="F57" t="s">
        <v>27</v>
      </c>
      <c r="G57" t="s">
        <v>21</v>
      </c>
      <c r="H57" t="s">
        <v>15</v>
      </c>
      <c r="I57">
        <v>2</v>
      </c>
      <c r="J57" t="s">
        <v>42</v>
      </c>
      <c r="K57" t="s">
        <v>17</v>
      </c>
      <c r="L57">
        <v>54</v>
      </c>
      <c r="M57" t="str">
        <f t="shared" si="0"/>
        <v>Middle Age</v>
      </c>
      <c r="N57" t="s">
        <v>18</v>
      </c>
    </row>
    <row r="58" spans="1:14" x14ac:dyDescent="0.25">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25">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25">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25">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25">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25">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25">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25">
      <c r="A65">
        <v>16185</v>
      </c>
      <c r="B65" t="s">
        <v>33</v>
      </c>
      <c r="C65" t="s">
        <v>35</v>
      </c>
      <c r="D65" s="2">
        <v>60000</v>
      </c>
      <c r="E65">
        <v>4</v>
      </c>
      <c r="F65" t="s">
        <v>13</v>
      </c>
      <c r="G65" t="s">
        <v>21</v>
      </c>
      <c r="H65" t="s">
        <v>15</v>
      </c>
      <c r="I65">
        <v>3</v>
      </c>
      <c r="J65" t="s">
        <v>42</v>
      </c>
      <c r="K65" t="s">
        <v>24</v>
      </c>
      <c r="L65">
        <v>41</v>
      </c>
      <c r="M65" t="str">
        <f t="shared" si="0"/>
        <v>Middle Age</v>
      </c>
      <c r="N65" t="s">
        <v>18</v>
      </c>
    </row>
    <row r="66" spans="1:14" x14ac:dyDescent="0.25">
      <c r="A66">
        <v>14927</v>
      </c>
      <c r="B66" t="s">
        <v>32</v>
      </c>
      <c r="C66" t="s">
        <v>34</v>
      </c>
      <c r="D66" s="2">
        <v>30000</v>
      </c>
      <c r="E66">
        <v>1</v>
      </c>
      <c r="F66" t="s">
        <v>13</v>
      </c>
      <c r="G66" t="s">
        <v>20</v>
      </c>
      <c r="H66" t="s">
        <v>15</v>
      </c>
      <c r="I66">
        <v>0</v>
      </c>
      <c r="J66" t="s">
        <v>16</v>
      </c>
      <c r="K66" t="s">
        <v>17</v>
      </c>
      <c r="L66">
        <v>37</v>
      </c>
      <c r="M66" t="str">
        <f t="shared" ref="M66:M129" si="1">IF(L66&gt;54,"Old",IF(L66&gt;=31,"Middle Age",IF(L66&lt;31,"Adolescent","Invalid")))</f>
        <v>Middle Age</v>
      </c>
      <c r="N66" t="s">
        <v>15</v>
      </c>
    </row>
    <row r="67" spans="1:14" x14ac:dyDescent="0.25">
      <c r="A67">
        <v>29337</v>
      </c>
      <c r="B67" t="s">
        <v>33</v>
      </c>
      <c r="C67" t="s">
        <v>35</v>
      </c>
      <c r="D67" s="2">
        <v>30000</v>
      </c>
      <c r="E67">
        <v>2</v>
      </c>
      <c r="F67" t="s">
        <v>19</v>
      </c>
      <c r="G67" t="s">
        <v>20</v>
      </c>
      <c r="H67" t="s">
        <v>15</v>
      </c>
      <c r="I67">
        <v>2</v>
      </c>
      <c r="J67" t="s">
        <v>23</v>
      </c>
      <c r="K67" t="s">
        <v>24</v>
      </c>
      <c r="L67">
        <v>68</v>
      </c>
      <c r="M67" t="str">
        <f t="shared" si="1"/>
        <v>Old</v>
      </c>
      <c r="N67" t="s">
        <v>18</v>
      </c>
    </row>
    <row r="68" spans="1:14" x14ac:dyDescent="0.25">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25">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25">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25">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25">
      <c r="A72">
        <v>14238</v>
      </c>
      <c r="B72" t="s">
        <v>32</v>
      </c>
      <c r="C72" t="s">
        <v>35</v>
      </c>
      <c r="D72" s="2">
        <v>120000</v>
      </c>
      <c r="E72">
        <v>0</v>
      </c>
      <c r="F72" t="s">
        <v>29</v>
      </c>
      <c r="G72" t="s">
        <v>21</v>
      </c>
      <c r="H72" t="s">
        <v>15</v>
      </c>
      <c r="I72">
        <v>4</v>
      </c>
      <c r="J72" t="s">
        <v>42</v>
      </c>
      <c r="K72" t="s">
        <v>24</v>
      </c>
      <c r="L72">
        <v>36</v>
      </c>
      <c r="M72" t="str">
        <f t="shared" si="1"/>
        <v>Middle Age</v>
      </c>
      <c r="N72" t="s">
        <v>15</v>
      </c>
    </row>
    <row r="73" spans="1:14" x14ac:dyDescent="0.25">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25">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25">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25">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25">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25">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25">
      <c r="A79">
        <v>27969</v>
      </c>
      <c r="B79" t="s">
        <v>32</v>
      </c>
      <c r="C79" t="s">
        <v>35</v>
      </c>
      <c r="D79" s="2">
        <v>80000</v>
      </c>
      <c r="E79">
        <v>0</v>
      </c>
      <c r="F79" t="s">
        <v>13</v>
      </c>
      <c r="G79" t="s">
        <v>21</v>
      </c>
      <c r="H79" t="s">
        <v>15</v>
      </c>
      <c r="I79">
        <v>2</v>
      </c>
      <c r="J79" t="s">
        <v>42</v>
      </c>
      <c r="K79" t="s">
        <v>24</v>
      </c>
      <c r="L79">
        <v>29</v>
      </c>
      <c r="M79" t="str">
        <f t="shared" si="1"/>
        <v>Adolescent</v>
      </c>
      <c r="N79" t="s">
        <v>15</v>
      </c>
    </row>
    <row r="80" spans="1:14" x14ac:dyDescent="0.25">
      <c r="A80">
        <v>15752</v>
      </c>
      <c r="B80" t="s">
        <v>32</v>
      </c>
      <c r="C80" t="s">
        <v>35</v>
      </c>
      <c r="D80" s="2">
        <v>80000</v>
      </c>
      <c r="E80">
        <v>2</v>
      </c>
      <c r="F80" t="s">
        <v>27</v>
      </c>
      <c r="G80" t="s">
        <v>14</v>
      </c>
      <c r="H80" t="s">
        <v>18</v>
      </c>
      <c r="I80">
        <v>2</v>
      </c>
      <c r="J80" t="s">
        <v>26</v>
      </c>
      <c r="K80" t="s">
        <v>24</v>
      </c>
      <c r="L80">
        <v>50</v>
      </c>
      <c r="M80" t="str">
        <f t="shared" si="1"/>
        <v>Middle Age</v>
      </c>
      <c r="N80" t="s">
        <v>15</v>
      </c>
    </row>
    <row r="81" spans="1:14" x14ac:dyDescent="0.25">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25">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25">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25">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25">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25">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25">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25">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25">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25">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25">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25">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25">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25">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25">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25">
      <c r="A96">
        <v>16487</v>
      </c>
      <c r="B96" t="s">
        <v>33</v>
      </c>
      <c r="C96" t="s">
        <v>34</v>
      </c>
      <c r="D96" s="2">
        <v>30000</v>
      </c>
      <c r="E96">
        <v>3</v>
      </c>
      <c r="F96" t="s">
        <v>27</v>
      </c>
      <c r="G96" t="s">
        <v>14</v>
      </c>
      <c r="H96" t="s">
        <v>15</v>
      </c>
      <c r="I96">
        <v>2</v>
      </c>
      <c r="J96" t="s">
        <v>23</v>
      </c>
      <c r="K96" t="s">
        <v>24</v>
      </c>
      <c r="L96">
        <v>55</v>
      </c>
      <c r="M96" t="str">
        <f t="shared" si="1"/>
        <v>Old</v>
      </c>
      <c r="N96" t="s">
        <v>18</v>
      </c>
    </row>
    <row r="97" spans="1:14" x14ac:dyDescent="0.25">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25">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25">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25">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25">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25">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25">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25">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25">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25">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25">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25">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x14ac:dyDescent="0.25">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x14ac:dyDescent="0.25">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25">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25">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25">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25">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25">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25">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25">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25">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25">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25">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25">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25">
      <c r="A124">
        <v>12344</v>
      </c>
      <c r="B124" t="s">
        <v>33</v>
      </c>
      <c r="C124" t="s">
        <v>34</v>
      </c>
      <c r="D124" s="2">
        <v>80000</v>
      </c>
      <c r="E124">
        <v>0</v>
      </c>
      <c r="F124" t="s">
        <v>13</v>
      </c>
      <c r="G124" t="s">
        <v>21</v>
      </c>
      <c r="H124" t="s">
        <v>18</v>
      </c>
      <c r="I124">
        <v>3</v>
      </c>
      <c r="J124" t="s">
        <v>42</v>
      </c>
      <c r="K124" t="s">
        <v>24</v>
      </c>
      <c r="L124">
        <v>31</v>
      </c>
      <c r="M124" t="str">
        <f t="shared" si="1"/>
        <v>Middle Age</v>
      </c>
      <c r="N124" t="s">
        <v>18</v>
      </c>
    </row>
    <row r="125" spans="1:14" x14ac:dyDescent="0.25">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25">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25">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25">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25">
      <c r="A130">
        <v>20970</v>
      </c>
      <c r="B130" t="s">
        <v>33</v>
      </c>
      <c r="C130" t="s">
        <v>35</v>
      </c>
      <c r="D130" s="2">
        <v>10000</v>
      </c>
      <c r="E130">
        <v>2</v>
      </c>
      <c r="F130" t="s">
        <v>19</v>
      </c>
      <c r="G130" t="s">
        <v>25</v>
      </c>
      <c r="H130" t="s">
        <v>15</v>
      </c>
      <c r="I130">
        <v>1</v>
      </c>
      <c r="J130" t="s">
        <v>16</v>
      </c>
      <c r="K130" t="s">
        <v>17</v>
      </c>
      <c r="L130">
        <v>52</v>
      </c>
      <c r="M130" t="str">
        <f t="shared" ref="M130:M193" si="2">IF(L130&gt;54,"Old",IF(L130&gt;=31,"Middle Age",IF(L130&lt;31,"Adolescent","Invalid")))</f>
        <v>Middle Age</v>
      </c>
      <c r="N130" t="s">
        <v>15</v>
      </c>
    </row>
    <row r="131" spans="1:14" x14ac:dyDescent="0.25">
      <c r="A131">
        <v>26818</v>
      </c>
      <c r="B131" t="s">
        <v>33</v>
      </c>
      <c r="C131" t="s">
        <v>35</v>
      </c>
      <c r="D131" s="2">
        <v>10000</v>
      </c>
      <c r="E131">
        <v>3</v>
      </c>
      <c r="F131" t="s">
        <v>27</v>
      </c>
      <c r="G131" t="s">
        <v>25</v>
      </c>
      <c r="H131" t="s">
        <v>15</v>
      </c>
      <c r="I131">
        <v>1</v>
      </c>
      <c r="J131" t="s">
        <v>16</v>
      </c>
      <c r="K131" t="s">
        <v>17</v>
      </c>
      <c r="L131">
        <v>39</v>
      </c>
      <c r="M131" t="str">
        <f t="shared" si="2"/>
        <v>Middle Age</v>
      </c>
      <c r="N131" t="s">
        <v>15</v>
      </c>
    </row>
    <row r="132" spans="1:14" x14ac:dyDescent="0.25">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25">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25">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25">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25">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x14ac:dyDescent="0.25">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25">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25">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25">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25">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25">
      <c r="A145">
        <v>16614</v>
      </c>
      <c r="B145" t="s">
        <v>32</v>
      </c>
      <c r="C145" t="s">
        <v>34</v>
      </c>
      <c r="D145" s="2">
        <v>80000</v>
      </c>
      <c r="E145">
        <v>0</v>
      </c>
      <c r="F145" t="s">
        <v>13</v>
      </c>
      <c r="G145" t="s">
        <v>21</v>
      </c>
      <c r="H145" t="s">
        <v>15</v>
      </c>
      <c r="I145">
        <v>3</v>
      </c>
      <c r="J145" t="s">
        <v>42</v>
      </c>
      <c r="K145" t="s">
        <v>24</v>
      </c>
      <c r="L145">
        <v>32</v>
      </c>
      <c r="M145" t="str">
        <f t="shared" si="2"/>
        <v>Middle Age</v>
      </c>
      <c r="N145" t="s">
        <v>18</v>
      </c>
    </row>
    <row r="146" spans="1:14" x14ac:dyDescent="0.25">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25">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25">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25">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25">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25">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25">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25">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25">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25">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25">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25">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x14ac:dyDescent="0.25">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x14ac:dyDescent="0.25">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25">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25">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25">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25">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x14ac:dyDescent="0.25">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25">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25">
      <c r="A169">
        <v>14233</v>
      </c>
      <c r="B169" t="s">
        <v>33</v>
      </c>
      <c r="C169" t="s">
        <v>35</v>
      </c>
      <c r="D169" s="2">
        <v>100000</v>
      </c>
      <c r="E169">
        <v>0</v>
      </c>
      <c r="F169" t="s">
        <v>27</v>
      </c>
      <c r="G169" t="s">
        <v>28</v>
      </c>
      <c r="H169" t="s">
        <v>15</v>
      </c>
      <c r="I169">
        <v>3</v>
      </c>
      <c r="J169" t="s">
        <v>42</v>
      </c>
      <c r="K169" t="s">
        <v>24</v>
      </c>
      <c r="L169">
        <v>35</v>
      </c>
      <c r="M169" t="str">
        <f t="shared" si="2"/>
        <v>Middle Age</v>
      </c>
      <c r="N169" t="s">
        <v>18</v>
      </c>
    </row>
    <row r="170" spans="1:14" x14ac:dyDescent="0.25">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25">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25">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25">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25">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25">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25">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25">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25">
      <c r="A180">
        <v>14191</v>
      </c>
      <c r="B180" t="s">
        <v>32</v>
      </c>
      <c r="C180" t="s">
        <v>35</v>
      </c>
      <c r="D180" s="2">
        <v>160000</v>
      </c>
      <c r="E180">
        <v>4</v>
      </c>
      <c r="F180" t="s">
        <v>19</v>
      </c>
      <c r="G180" t="s">
        <v>21</v>
      </c>
      <c r="H180" t="s">
        <v>18</v>
      </c>
      <c r="I180">
        <v>2</v>
      </c>
      <c r="J180" t="s">
        <v>42</v>
      </c>
      <c r="K180" t="s">
        <v>17</v>
      </c>
      <c r="L180">
        <v>55</v>
      </c>
      <c r="M180" t="str">
        <f t="shared" si="2"/>
        <v>Old</v>
      </c>
      <c r="N180" t="s">
        <v>15</v>
      </c>
    </row>
    <row r="181" spans="1:14" x14ac:dyDescent="0.25">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25">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25">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x14ac:dyDescent="0.25">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25">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25">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25">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25">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25">
      <c r="A190">
        <v>20606</v>
      </c>
      <c r="B190" t="s">
        <v>32</v>
      </c>
      <c r="C190" t="s">
        <v>34</v>
      </c>
      <c r="D190" s="2">
        <v>70000</v>
      </c>
      <c r="E190">
        <v>0</v>
      </c>
      <c r="F190" t="s">
        <v>13</v>
      </c>
      <c r="G190" t="s">
        <v>21</v>
      </c>
      <c r="H190" t="s">
        <v>15</v>
      </c>
      <c r="I190">
        <v>4</v>
      </c>
      <c r="J190" t="s">
        <v>42</v>
      </c>
      <c r="K190" t="s">
        <v>24</v>
      </c>
      <c r="L190">
        <v>32</v>
      </c>
      <c r="M190" t="str">
        <f t="shared" si="2"/>
        <v>Middle Age</v>
      </c>
      <c r="N190" t="s">
        <v>15</v>
      </c>
    </row>
    <row r="191" spans="1:14" x14ac:dyDescent="0.25">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25">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25">
      <c r="A194">
        <v>15682</v>
      </c>
      <c r="B194" t="s">
        <v>33</v>
      </c>
      <c r="C194" t="s">
        <v>34</v>
      </c>
      <c r="D194" s="2">
        <v>80000</v>
      </c>
      <c r="E194">
        <v>5</v>
      </c>
      <c r="F194" t="s">
        <v>13</v>
      </c>
      <c r="G194" t="s">
        <v>28</v>
      </c>
      <c r="H194" t="s">
        <v>15</v>
      </c>
      <c r="I194">
        <v>2</v>
      </c>
      <c r="J194" t="s">
        <v>42</v>
      </c>
      <c r="K194" t="s">
        <v>17</v>
      </c>
      <c r="L194">
        <v>62</v>
      </c>
      <c r="M194" t="str">
        <f t="shared" ref="M194:M257" si="3">IF(L194&gt;54,"Old",IF(L194&gt;=31,"Middle Age",IF(L194&lt;31,"Adolescent","Invalid")))</f>
        <v>Old</v>
      </c>
      <c r="N194" t="s">
        <v>18</v>
      </c>
    </row>
    <row r="195" spans="1:14" x14ac:dyDescent="0.25">
      <c r="A195">
        <v>26032</v>
      </c>
      <c r="B195" t="s">
        <v>32</v>
      </c>
      <c r="C195" t="s">
        <v>34</v>
      </c>
      <c r="D195" s="2">
        <v>70000</v>
      </c>
      <c r="E195">
        <v>5</v>
      </c>
      <c r="F195" t="s">
        <v>13</v>
      </c>
      <c r="G195" t="s">
        <v>21</v>
      </c>
      <c r="H195" t="s">
        <v>15</v>
      </c>
      <c r="I195">
        <v>4</v>
      </c>
      <c r="J195" t="s">
        <v>42</v>
      </c>
      <c r="K195" t="s">
        <v>24</v>
      </c>
      <c r="L195">
        <v>41</v>
      </c>
      <c r="M195" t="str">
        <f t="shared" si="3"/>
        <v>Middle Age</v>
      </c>
      <c r="N195" t="s">
        <v>18</v>
      </c>
    </row>
    <row r="196" spans="1:14" x14ac:dyDescent="0.25">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25">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25">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25">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25">
      <c r="A201">
        <v>11453</v>
      </c>
      <c r="B201" t="s">
        <v>33</v>
      </c>
      <c r="C201" t="s">
        <v>35</v>
      </c>
      <c r="D201" s="2">
        <v>80000</v>
      </c>
      <c r="E201">
        <v>0</v>
      </c>
      <c r="F201" t="s">
        <v>13</v>
      </c>
      <c r="G201" t="s">
        <v>21</v>
      </c>
      <c r="H201" t="s">
        <v>18</v>
      </c>
      <c r="I201">
        <v>3</v>
      </c>
      <c r="J201" t="s">
        <v>42</v>
      </c>
      <c r="K201" t="s">
        <v>24</v>
      </c>
      <c r="L201">
        <v>33</v>
      </c>
      <c r="M201" t="str">
        <f t="shared" si="3"/>
        <v>Middle Age</v>
      </c>
      <c r="N201" t="s">
        <v>15</v>
      </c>
    </row>
    <row r="202" spans="1:14" x14ac:dyDescent="0.25">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25">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25">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25">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x14ac:dyDescent="0.25">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25">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25">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25">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25">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25">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25">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35</v>
      </c>
      <c r="D215" s="2">
        <v>70000</v>
      </c>
      <c r="E215">
        <v>0</v>
      </c>
      <c r="F215" t="s">
        <v>13</v>
      </c>
      <c r="G215" t="s">
        <v>21</v>
      </c>
      <c r="H215" t="s">
        <v>18</v>
      </c>
      <c r="I215">
        <v>4</v>
      </c>
      <c r="J215" t="s">
        <v>42</v>
      </c>
      <c r="K215" t="s">
        <v>24</v>
      </c>
      <c r="L215">
        <v>31</v>
      </c>
      <c r="M215" t="str">
        <f t="shared" si="3"/>
        <v>Middle Age</v>
      </c>
      <c r="N215" t="s">
        <v>15</v>
      </c>
    </row>
    <row r="216" spans="1:14" x14ac:dyDescent="0.25">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25">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x14ac:dyDescent="0.25">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25">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25">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25">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25">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25">
      <c r="A225">
        <v>18711</v>
      </c>
      <c r="B225" t="s">
        <v>33</v>
      </c>
      <c r="C225" t="s">
        <v>34</v>
      </c>
      <c r="D225" s="2">
        <v>70000</v>
      </c>
      <c r="E225">
        <v>5</v>
      </c>
      <c r="F225" t="s">
        <v>13</v>
      </c>
      <c r="G225" t="s">
        <v>21</v>
      </c>
      <c r="H225" t="s">
        <v>15</v>
      </c>
      <c r="I225">
        <v>4</v>
      </c>
      <c r="J225" t="s">
        <v>42</v>
      </c>
      <c r="K225" t="s">
        <v>24</v>
      </c>
      <c r="L225">
        <v>39</v>
      </c>
      <c r="M225" t="str">
        <f t="shared" si="3"/>
        <v>Middle Age</v>
      </c>
      <c r="N225" t="s">
        <v>18</v>
      </c>
    </row>
    <row r="226" spans="1:14" x14ac:dyDescent="0.25">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25">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25">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25">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25">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25">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25">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25">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25">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25">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35</v>
      </c>
      <c r="D236" s="2">
        <v>90000</v>
      </c>
      <c r="E236">
        <v>0</v>
      </c>
      <c r="F236" t="s">
        <v>13</v>
      </c>
      <c r="G236" t="s">
        <v>21</v>
      </c>
      <c r="H236" t="s">
        <v>18</v>
      </c>
      <c r="I236">
        <v>4</v>
      </c>
      <c r="J236" t="s">
        <v>42</v>
      </c>
      <c r="K236" t="s">
        <v>24</v>
      </c>
      <c r="L236">
        <v>35</v>
      </c>
      <c r="M236" t="str">
        <f t="shared" si="3"/>
        <v>Middle Age</v>
      </c>
      <c r="N236" t="s">
        <v>15</v>
      </c>
    </row>
    <row r="237" spans="1:14" x14ac:dyDescent="0.25">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25">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25">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25">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25">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25">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25">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25">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25">
      <c r="A246">
        <v>19057</v>
      </c>
      <c r="B246" t="s">
        <v>32</v>
      </c>
      <c r="C246" t="s">
        <v>34</v>
      </c>
      <c r="D246" s="2">
        <v>120000</v>
      </c>
      <c r="E246">
        <v>3</v>
      </c>
      <c r="F246" t="s">
        <v>13</v>
      </c>
      <c r="G246" t="s">
        <v>28</v>
      </c>
      <c r="H246" t="s">
        <v>18</v>
      </c>
      <c r="I246">
        <v>2</v>
      </c>
      <c r="J246" t="s">
        <v>42</v>
      </c>
      <c r="K246" t="s">
        <v>17</v>
      </c>
      <c r="L246">
        <v>52</v>
      </c>
      <c r="M246" t="str">
        <f t="shared" si="3"/>
        <v>Middle Age</v>
      </c>
      <c r="N246" t="s">
        <v>15</v>
      </c>
    </row>
    <row r="247" spans="1:14" x14ac:dyDescent="0.25">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25">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25">
      <c r="A249">
        <v>21568</v>
      </c>
      <c r="B249" t="s">
        <v>32</v>
      </c>
      <c r="C249" t="s">
        <v>34</v>
      </c>
      <c r="D249" s="2">
        <v>100000</v>
      </c>
      <c r="E249">
        <v>0</v>
      </c>
      <c r="F249" t="s">
        <v>27</v>
      </c>
      <c r="G249" t="s">
        <v>28</v>
      </c>
      <c r="H249" t="s">
        <v>15</v>
      </c>
      <c r="I249">
        <v>4</v>
      </c>
      <c r="J249" t="s">
        <v>42</v>
      </c>
      <c r="K249" t="s">
        <v>24</v>
      </c>
      <c r="L249">
        <v>34</v>
      </c>
      <c r="M249" t="str">
        <f t="shared" si="3"/>
        <v>Middle Age</v>
      </c>
      <c r="N249" t="s">
        <v>15</v>
      </c>
    </row>
    <row r="250" spans="1:14" x14ac:dyDescent="0.25">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25">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25">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25">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25">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25">
      <c r="A258">
        <v>21738</v>
      </c>
      <c r="B258" t="s">
        <v>32</v>
      </c>
      <c r="C258" t="s">
        <v>35</v>
      </c>
      <c r="D258" s="2">
        <v>20000</v>
      </c>
      <c r="E258">
        <v>1</v>
      </c>
      <c r="F258" t="s">
        <v>30</v>
      </c>
      <c r="G258" t="s">
        <v>20</v>
      </c>
      <c r="H258" t="s">
        <v>15</v>
      </c>
      <c r="I258">
        <v>0</v>
      </c>
      <c r="J258" t="s">
        <v>16</v>
      </c>
      <c r="K258" t="s">
        <v>17</v>
      </c>
      <c r="L258">
        <v>43</v>
      </c>
      <c r="M258" t="str">
        <f t="shared" ref="M258:M321" si="4">IF(L258&gt;54,"Old",IF(L258&gt;=31,"Middle Age",IF(L258&lt;31,"Adolescent","Invalid")))</f>
        <v>Middle Age</v>
      </c>
      <c r="N258" t="s">
        <v>18</v>
      </c>
    </row>
    <row r="259" spans="1:14" x14ac:dyDescent="0.25">
      <c r="A259">
        <v>14164</v>
      </c>
      <c r="B259" t="s">
        <v>33</v>
      </c>
      <c r="C259" t="s">
        <v>34</v>
      </c>
      <c r="D259" s="2">
        <v>50000</v>
      </c>
      <c r="E259">
        <v>0</v>
      </c>
      <c r="F259" t="s">
        <v>30</v>
      </c>
      <c r="G259" t="s">
        <v>14</v>
      </c>
      <c r="H259" t="s">
        <v>15</v>
      </c>
      <c r="I259">
        <v>0</v>
      </c>
      <c r="J259" t="s">
        <v>16</v>
      </c>
      <c r="K259" t="s">
        <v>17</v>
      </c>
      <c r="L259">
        <v>36</v>
      </c>
      <c r="M259" t="str">
        <f t="shared" si="4"/>
        <v>Middle Age</v>
      </c>
      <c r="N259" t="s">
        <v>15</v>
      </c>
    </row>
    <row r="260" spans="1:14" x14ac:dyDescent="0.25">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25">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25">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25">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25">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25">
      <c r="A265">
        <v>23419</v>
      </c>
      <c r="B265" t="s">
        <v>33</v>
      </c>
      <c r="C265" t="s">
        <v>34</v>
      </c>
      <c r="D265" s="2">
        <v>70000</v>
      </c>
      <c r="E265">
        <v>5</v>
      </c>
      <c r="F265" t="s">
        <v>13</v>
      </c>
      <c r="G265" t="s">
        <v>21</v>
      </c>
      <c r="H265" t="s">
        <v>15</v>
      </c>
      <c r="I265">
        <v>3</v>
      </c>
      <c r="J265" t="s">
        <v>42</v>
      </c>
      <c r="K265" t="s">
        <v>24</v>
      </c>
      <c r="L265">
        <v>39</v>
      </c>
      <c r="M265" t="str">
        <f t="shared" si="4"/>
        <v>Middle Age</v>
      </c>
      <c r="N265" t="s">
        <v>18</v>
      </c>
    </row>
    <row r="266" spans="1:14" x14ac:dyDescent="0.25">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25">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25">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25">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25">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25">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25">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25">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25">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25">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25">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25">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25">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25">
      <c r="A280">
        <v>20625</v>
      </c>
      <c r="B280" t="s">
        <v>32</v>
      </c>
      <c r="C280" t="s">
        <v>35</v>
      </c>
      <c r="D280" s="2">
        <v>100000</v>
      </c>
      <c r="E280">
        <v>0</v>
      </c>
      <c r="F280" t="s">
        <v>27</v>
      </c>
      <c r="G280" t="s">
        <v>28</v>
      </c>
      <c r="H280" t="s">
        <v>15</v>
      </c>
      <c r="I280">
        <v>3</v>
      </c>
      <c r="J280" t="s">
        <v>42</v>
      </c>
      <c r="K280" t="s">
        <v>24</v>
      </c>
      <c r="L280">
        <v>35</v>
      </c>
      <c r="M280" t="str">
        <f t="shared" si="4"/>
        <v>Middle Age</v>
      </c>
      <c r="N280" t="s">
        <v>15</v>
      </c>
    </row>
    <row r="281" spans="1:14" x14ac:dyDescent="0.25">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25">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25">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25">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25">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25">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25">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25">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25">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25">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25">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x14ac:dyDescent="0.25">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25">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25">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25">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25">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25">
      <c r="A297">
        <v>21557</v>
      </c>
      <c r="B297" t="s">
        <v>33</v>
      </c>
      <c r="C297" t="s">
        <v>34</v>
      </c>
      <c r="D297" s="2">
        <v>110000</v>
      </c>
      <c r="E297">
        <v>0</v>
      </c>
      <c r="F297" t="s">
        <v>19</v>
      </c>
      <c r="G297" t="s">
        <v>28</v>
      </c>
      <c r="H297" t="s">
        <v>15</v>
      </c>
      <c r="I297">
        <v>3</v>
      </c>
      <c r="J297" t="s">
        <v>42</v>
      </c>
      <c r="K297" t="s">
        <v>24</v>
      </c>
      <c r="L297">
        <v>32</v>
      </c>
      <c r="M297" t="str">
        <f t="shared" si="4"/>
        <v>Middle Age</v>
      </c>
      <c r="N297" t="s">
        <v>15</v>
      </c>
    </row>
    <row r="298" spans="1:14" x14ac:dyDescent="0.25">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25">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25">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25">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25">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25">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25">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25">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25">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25">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25">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25">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25">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25">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x14ac:dyDescent="0.25">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25">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25">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25">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25">
      <c r="A320">
        <v>19066</v>
      </c>
      <c r="B320" t="s">
        <v>32</v>
      </c>
      <c r="C320" t="s">
        <v>35</v>
      </c>
      <c r="D320" s="2">
        <v>130000</v>
      </c>
      <c r="E320">
        <v>4</v>
      </c>
      <c r="F320" t="s">
        <v>19</v>
      </c>
      <c r="G320" t="s">
        <v>21</v>
      </c>
      <c r="H320" t="s">
        <v>18</v>
      </c>
      <c r="I320">
        <v>3</v>
      </c>
      <c r="J320" t="s">
        <v>42</v>
      </c>
      <c r="K320" t="s">
        <v>17</v>
      </c>
      <c r="L320">
        <v>54</v>
      </c>
      <c r="M320" t="str">
        <f t="shared" si="4"/>
        <v>Middle Age</v>
      </c>
      <c r="N320" t="s">
        <v>18</v>
      </c>
    </row>
    <row r="321" spans="1:14" x14ac:dyDescent="0.25">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25">
      <c r="A322">
        <v>20228</v>
      </c>
      <c r="B322" t="s">
        <v>32</v>
      </c>
      <c r="C322" t="s">
        <v>35</v>
      </c>
      <c r="D322" s="2">
        <v>100000</v>
      </c>
      <c r="E322">
        <v>0</v>
      </c>
      <c r="F322" t="s">
        <v>30</v>
      </c>
      <c r="G322" t="s">
        <v>28</v>
      </c>
      <c r="H322" t="s">
        <v>15</v>
      </c>
      <c r="I322">
        <v>0</v>
      </c>
      <c r="J322" t="s">
        <v>22</v>
      </c>
      <c r="K322" t="s">
        <v>24</v>
      </c>
      <c r="L322">
        <v>40</v>
      </c>
      <c r="M322" t="str">
        <f t="shared" ref="M322:M385" si="5">IF(L322&gt;54,"Old",IF(L322&gt;=31,"Middle Age",IF(L322&lt;31,"Adolescent","Invalid")))</f>
        <v>Middle Age</v>
      </c>
      <c r="N322" t="s">
        <v>15</v>
      </c>
    </row>
    <row r="323" spans="1:14" x14ac:dyDescent="0.25">
      <c r="A323">
        <v>16675</v>
      </c>
      <c r="B323" t="s">
        <v>33</v>
      </c>
      <c r="C323" t="s">
        <v>34</v>
      </c>
      <c r="D323" s="2">
        <v>160000</v>
      </c>
      <c r="E323">
        <v>0</v>
      </c>
      <c r="F323" t="s">
        <v>30</v>
      </c>
      <c r="G323" t="s">
        <v>28</v>
      </c>
      <c r="H323" t="s">
        <v>18</v>
      </c>
      <c r="I323">
        <v>3</v>
      </c>
      <c r="J323" t="s">
        <v>16</v>
      </c>
      <c r="K323" t="s">
        <v>24</v>
      </c>
      <c r="L323">
        <v>47</v>
      </c>
      <c r="M323" t="str">
        <f t="shared" si="5"/>
        <v>Middle Age</v>
      </c>
      <c r="N323" t="s">
        <v>15</v>
      </c>
    </row>
    <row r="324" spans="1:14" x14ac:dyDescent="0.25">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25">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25">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25">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25">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25">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25">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25">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25">
      <c r="A332">
        <v>24898</v>
      </c>
      <c r="B332" t="s">
        <v>33</v>
      </c>
      <c r="C332" t="s">
        <v>34</v>
      </c>
      <c r="D332" s="2">
        <v>80000</v>
      </c>
      <c r="E332">
        <v>0</v>
      </c>
      <c r="F332" t="s">
        <v>13</v>
      </c>
      <c r="G332" t="s">
        <v>21</v>
      </c>
      <c r="H332" t="s">
        <v>15</v>
      </c>
      <c r="I332">
        <v>3</v>
      </c>
      <c r="J332" t="s">
        <v>42</v>
      </c>
      <c r="K332" t="s">
        <v>24</v>
      </c>
      <c r="L332">
        <v>32</v>
      </c>
      <c r="M332" t="str">
        <f t="shared" si="5"/>
        <v>Middle Age</v>
      </c>
      <c r="N332" t="s">
        <v>18</v>
      </c>
    </row>
    <row r="333" spans="1:14" x14ac:dyDescent="0.25">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25">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25">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25">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25">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25">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25">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25">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25">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25">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25">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25">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x14ac:dyDescent="0.25">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25">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25">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25">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25">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25">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25">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25">
      <c r="A357">
        <v>17238</v>
      </c>
      <c r="B357" t="s">
        <v>33</v>
      </c>
      <c r="C357" t="s">
        <v>35</v>
      </c>
      <c r="D357" s="2">
        <v>80000</v>
      </c>
      <c r="E357">
        <v>0</v>
      </c>
      <c r="F357" t="s">
        <v>13</v>
      </c>
      <c r="G357" t="s">
        <v>21</v>
      </c>
      <c r="H357" t="s">
        <v>15</v>
      </c>
      <c r="I357">
        <v>3</v>
      </c>
      <c r="J357" t="s">
        <v>42</v>
      </c>
      <c r="K357" t="s">
        <v>24</v>
      </c>
      <c r="L357">
        <v>32</v>
      </c>
      <c r="M357" t="str">
        <f t="shared" si="5"/>
        <v>Middle Age</v>
      </c>
      <c r="N357" t="s">
        <v>18</v>
      </c>
    </row>
    <row r="358" spans="1:14" x14ac:dyDescent="0.25">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25">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25">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25">
      <c r="A361">
        <v>17230</v>
      </c>
      <c r="B361" t="s">
        <v>32</v>
      </c>
      <c r="C361" t="s">
        <v>35</v>
      </c>
      <c r="D361" s="2">
        <v>80000</v>
      </c>
      <c r="E361">
        <v>0</v>
      </c>
      <c r="F361" t="s">
        <v>13</v>
      </c>
      <c r="G361" t="s">
        <v>21</v>
      </c>
      <c r="H361" t="s">
        <v>15</v>
      </c>
      <c r="I361">
        <v>3</v>
      </c>
      <c r="J361" t="s">
        <v>42</v>
      </c>
      <c r="K361" t="s">
        <v>24</v>
      </c>
      <c r="L361">
        <v>30</v>
      </c>
      <c r="M361" t="str">
        <f t="shared" si="5"/>
        <v>Adolescent</v>
      </c>
      <c r="N361" t="s">
        <v>18</v>
      </c>
    </row>
    <row r="362" spans="1:14" x14ac:dyDescent="0.25">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25">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25">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25">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25">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25">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25">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x14ac:dyDescent="0.25">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25">
      <c r="A372">
        <v>17324</v>
      </c>
      <c r="B372" t="s">
        <v>32</v>
      </c>
      <c r="C372" t="s">
        <v>34</v>
      </c>
      <c r="D372" s="2">
        <v>100000</v>
      </c>
      <c r="E372">
        <v>4</v>
      </c>
      <c r="F372" t="s">
        <v>13</v>
      </c>
      <c r="G372" t="s">
        <v>21</v>
      </c>
      <c r="H372" t="s">
        <v>15</v>
      </c>
      <c r="I372">
        <v>1</v>
      </c>
      <c r="J372" t="s">
        <v>42</v>
      </c>
      <c r="K372" t="s">
        <v>24</v>
      </c>
      <c r="L372">
        <v>46</v>
      </c>
      <c r="M372" t="str">
        <f t="shared" si="5"/>
        <v>Middle Age</v>
      </c>
      <c r="N372" t="s">
        <v>18</v>
      </c>
    </row>
    <row r="373" spans="1:14" x14ac:dyDescent="0.25">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x14ac:dyDescent="0.25">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25">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25">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25">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25">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25">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25">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25">
      <c r="A382">
        <v>13620</v>
      </c>
      <c r="B382" t="s">
        <v>33</v>
      </c>
      <c r="C382" t="s">
        <v>35</v>
      </c>
      <c r="D382" s="2">
        <v>70000</v>
      </c>
      <c r="E382">
        <v>0</v>
      </c>
      <c r="F382" t="s">
        <v>13</v>
      </c>
      <c r="G382" t="s">
        <v>21</v>
      </c>
      <c r="H382" t="s">
        <v>18</v>
      </c>
      <c r="I382">
        <v>3</v>
      </c>
      <c r="J382" t="s">
        <v>42</v>
      </c>
      <c r="K382" t="s">
        <v>24</v>
      </c>
      <c r="L382">
        <v>30</v>
      </c>
      <c r="M382" t="str">
        <f t="shared" si="5"/>
        <v>Adolescent</v>
      </c>
      <c r="N382" t="s">
        <v>15</v>
      </c>
    </row>
    <row r="383" spans="1:14" x14ac:dyDescent="0.25">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25">
      <c r="A384">
        <v>13586</v>
      </c>
      <c r="B384" t="s">
        <v>32</v>
      </c>
      <c r="C384" t="s">
        <v>35</v>
      </c>
      <c r="D384" s="2">
        <v>80000</v>
      </c>
      <c r="E384">
        <v>4</v>
      </c>
      <c r="F384" t="s">
        <v>19</v>
      </c>
      <c r="G384" t="s">
        <v>21</v>
      </c>
      <c r="H384" t="s">
        <v>15</v>
      </c>
      <c r="I384">
        <v>2</v>
      </c>
      <c r="J384" t="s">
        <v>42</v>
      </c>
      <c r="K384" t="s">
        <v>17</v>
      </c>
      <c r="L384">
        <v>53</v>
      </c>
      <c r="M384" t="str">
        <f t="shared" si="5"/>
        <v>Middle Age</v>
      </c>
      <c r="N384" t="s">
        <v>18</v>
      </c>
    </row>
    <row r="385" spans="1:14" x14ac:dyDescent="0.25">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25">
      <c r="A386">
        <v>12581</v>
      </c>
      <c r="B386" t="s">
        <v>33</v>
      </c>
      <c r="C386" t="s">
        <v>34</v>
      </c>
      <c r="D386" s="2">
        <v>10000</v>
      </c>
      <c r="E386">
        <v>0</v>
      </c>
      <c r="F386" t="s">
        <v>19</v>
      </c>
      <c r="G386" t="s">
        <v>25</v>
      </c>
      <c r="H386" t="s">
        <v>18</v>
      </c>
      <c r="I386">
        <v>1</v>
      </c>
      <c r="J386" t="s">
        <v>16</v>
      </c>
      <c r="K386" t="s">
        <v>24</v>
      </c>
      <c r="L386">
        <v>28</v>
      </c>
      <c r="M386" t="str">
        <f t="shared" ref="M386:M449" si="6">IF(L386&gt;54,"Old",IF(L386&gt;=31,"Middle Age",IF(L386&lt;31,"Adolescent","Invalid")))</f>
        <v>Adolescent</v>
      </c>
      <c r="N386" t="s">
        <v>15</v>
      </c>
    </row>
    <row r="387" spans="1:14" x14ac:dyDescent="0.25">
      <c r="A387">
        <v>18018</v>
      </c>
      <c r="B387" t="s">
        <v>33</v>
      </c>
      <c r="C387" t="s">
        <v>35</v>
      </c>
      <c r="D387" s="2">
        <v>30000</v>
      </c>
      <c r="E387">
        <v>3</v>
      </c>
      <c r="F387" t="s">
        <v>19</v>
      </c>
      <c r="G387" t="s">
        <v>20</v>
      </c>
      <c r="H387" t="s">
        <v>15</v>
      </c>
      <c r="I387">
        <v>0</v>
      </c>
      <c r="J387" t="s">
        <v>16</v>
      </c>
      <c r="K387" t="s">
        <v>17</v>
      </c>
      <c r="L387">
        <v>43</v>
      </c>
      <c r="M387" t="str">
        <f t="shared" si="6"/>
        <v>Middle Age</v>
      </c>
      <c r="N387" t="s">
        <v>18</v>
      </c>
    </row>
    <row r="388" spans="1:14" x14ac:dyDescent="0.25">
      <c r="A388">
        <v>28957</v>
      </c>
      <c r="B388" t="s">
        <v>33</v>
      </c>
      <c r="C388" t="s">
        <v>34</v>
      </c>
      <c r="D388" s="2">
        <v>120000</v>
      </c>
      <c r="E388">
        <v>0</v>
      </c>
      <c r="F388" t="s">
        <v>29</v>
      </c>
      <c r="G388" t="s">
        <v>21</v>
      </c>
      <c r="H388" t="s">
        <v>15</v>
      </c>
      <c r="I388">
        <v>4</v>
      </c>
      <c r="J388" t="s">
        <v>42</v>
      </c>
      <c r="K388" t="s">
        <v>24</v>
      </c>
      <c r="L388">
        <v>34</v>
      </c>
      <c r="M388" t="str">
        <f t="shared" si="6"/>
        <v>Middle Age</v>
      </c>
      <c r="N388" t="s">
        <v>15</v>
      </c>
    </row>
    <row r="389" spans="1:14" x14ac:dyDescent="0.25">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25">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25">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25">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25">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25">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25">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25">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25">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25">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25">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25">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25">
      <c r="A402">
        <v>25792</v>
      </c>
      <c r="B402" t="s">
        <v>33</v>
      </c>
      <c r="C402" t="s">
        <v>34</v>
      </c>
      <c r="D402" s="2">
        <v>110000</v>
      </c>
      <c r="E402">
        <v>3</v>
      </c>
      <c r="F402" t="s">
        <v>13</v>
      </c>
      <c r="G402" t="s">
        <v>28</v>
      </c>
      <c r="H402" t="s">
        <v>15</v>
      </c>
      <c r="I402">
        <v>4</v>
      </c>
      <c r="J402" t="s">
        <v>42</v>
      </c>
      <c r="K402" t="s">
        <v>17</v>
      </c>
      <c r="L402">
        <v>53</v>
      </c>
      <c r="M402" t="str">
        <f t="shared" si="6"/>
        <v>Middle Age</v>
      </c>
      <c r="N402" t="s">
        <v>18</v>
      </c>
    </row>
    <row r="403" spans="1:14" x14ac:dyDescent="0.25">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25">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25">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25">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x14ac:dyDescent="0.25">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25">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25">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25">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25">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25">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25">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25">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25">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25">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25">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25">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25">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25">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25">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25">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25">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25">
      <c r="A424">
        <v>24901</v>
      </c>
      <c r="B424" t="s">
        <v>33</v>
      </c>
      <c r="C424" t="s">
        <v>35</v>
      </c>
      <c r="D424" s="2">
        <v>110000</v>
      </c>
      <c r="E424">
        <v>0</v>
      </c>
      <c r="F424" t="s">
        <v>19</v>
      </c>
      <c r="G424" t="s">
        <v>28</v>
      </c>
      <c r="H424" t="s">
        <v>18</v>
      </c>
      <c r="I424">
        <v>3</v>
      </c>
      <c r="J424" t="s">
        <v>42</v>
      </c>
      <c r="K424" t="s">
        <v>24</v>
      </c>
      <c r="L424">
        <v>32</v>
      </c>
      <c r="M424" t="str">
        <f t="shared" si="6"/>
        <v>Middle Age</v>
      </c>
      <c r="N424" t="s">
        <v>15</v>
      </c>
    </row>
    <row r="425" spans="1:14" x14ac:dyDescent="0.25">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25">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25">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25">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25">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25">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25">
      <c r="A434">
        <v>21891</v>
      </c>
      <c r="B434" t="s">
        <v>32</v>
      </c>
      <c r="C434" t="s">
        <v>34</v>
      </c>
      <c r="D434" s="2">
        <v>110000</v>
      </c>
      <c r="E434">
        <v>0</v>
      </c>
      <c r="F434" t="s">
        <v>27</v>
      </c>
      <c r="G434" t="s">
        <v>28</v>
      </c>
      <c r="H434" t="s">
        <v>15</v>
      </c>
      <c r="I434">
        <v>3</v>
      </c>
      <c r="J434" t="s">
        <v>42</v>
      </c>
      <c r="K434" t="s">
        <v>24</v>
      </c>
      <c r="L434">
        <v>34</v>
      </c>
      <c r="M434" t="str">
        <f t="shared" si="6"/>
        <v>Middle Age</v>
      </c>
      <c r="N434" t="s">
        <v>15</v>
      </c>
    </row>
    <row r="435" spans="1:14" x14ac:dyDescent="0.25">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25">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25">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25">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25">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25">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25">
      <c r="A442">
        <v>21561</v>
      </c>
      <c r="B442" t="s">
        <v>33</v>
      </c>
      <c r="C442" t="s">
        <v>35</v>
      </c>
      <c r="D442" s="2">
        <v>90000</v>
      </c>
      <c r="E442">
        <v>0</v>
      </c>
      <c r="F442" t="s">
        <v>13</v>
      </c>
      <c r="G442" t="s">
        <v>21</v>
      </c>
      <c r="H442" t="s">
        <v>18</v>
      </c>
      <c r="I442">
        <v>3</v>
      </c>
      <c r="J442" t="s">
        <v>42</v>
      </c>
      <c r="K442" t="s">
        <v>24</v>
      </c>
      <c r="L442">
        <v>34</v>
      </c>
      <c r="M442" t="str">
        <f t="shared" si="6"/>
        <v>Middle Age</v>
      </c>
      <c r="N442" t="s">
        <v>15</v>
      </c>
    </row>
    <row r="443" spans="1:14" x14ac:dyDescent="0.25">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25">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25">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25">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25">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25">
      <c r="A448">
        <v>14278</v>
      </c>
      <c r="B448" t="s">
        <v>32</v>
      </c>
      <c r="C448" t="s">
        <v>34</v>
      </c>
      <c r="D448" s="2">
        <v>130000</v>
      </c>
      <c r="E448">
        <v>0</v>
      </c>
      <c r="F448" t="s">
        <v>30</v>
      </c>
      <c r="G448" t="s">
        <v>28</v>
      </c>
      <c r="H448" t="s">
        <v>15</v>
      </c>
      <c r="I448">
        <v>1</v>
      </c>
      <c r="J448" t="s">
        <v>42</v>
      </c>
      <c r="K448" t="s">
        <v>24</v>
      </c>
      <c r="L448">
        <v>48</v>
      </c>
      <c r="M448" t="str">
        <f t="shared" si="6"/>
        <v>Middle Age</v>
      </c>
      <c r="N448" t="s">
        <v>18</v>
      </c>
    </row>
    <row r="449" spans="1:14" x14ac:dyDescent="0.25">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25">
      <c r="A450">
        <v>11383</v>
      </c>
      <c r="B450" t="s">
        <v>32</v>
      </c>
      <c r="C450" t="s">
        <v>34</v>
      </c>
      <c r="D450" s="2">
        <v>30000</v>
      </c>
      <c r="E450">
        <v>3</v>
      </c>
      <c r="F450" t="s">
        <v>30</v>
      </c>
      <c r="G450" t="s">
        <v>20</v>
      </c>
      <c r="H450" t="s">
        <v>15</v>
      </c>
      <c r="I450">
        <v>0</v>
      </c>
      <c r="J450" t="s">
        <v>16</v>
      </c>
      <c r="K450" t="s">
        <v>17</v>
      </c>
      <c r="L450">
        <v>46</v>
      </c>
      <c r="M450" t="str">
        <f t="shared" ref="M450:M513" si="7">IF(L450&gt;54,"Old",IF(L450&gt;=31,"Middle Age",IF(L450&lt;31,"Adolescent","Invalid")))</f>
        <v>Middle Age</v>
      </c>
      <c r="N450" t="s">
        <v>18</v>
      </c>
    </row>
    <row r="451" spans="1:14" x14ac:dyDescent="0.25">
      <c r="A451">
        <v>12497</v>
      </c>
      <c r="B451" t="s">
        <v>32</v>
      </c>
      <c r="C451" t="s">
        <v>34</v>
      </c>
      <c r="D451" s="2">
        <v>40000</v>
      </c>
      <c r="E451">
        <v>1</v>
      </c>
      <c r="F451" t="s">
        <v>13</v>
      </c>
      <c r="G451" t="s">
        <v>14</v>
      </c>
      <c r="H451" t="s">
        <v>15</v>
      </c>
      <c r="I451">
        <v>0</v>
      </c>
      <c r="J451" t="s">
        <v>16</v>
      </c>
      <c r="K451" t="s">
        <v>17</v>
      </c>
      <c r="L451">
        <v>42</v>
      </c>
      <c r="M451" t="str">
        <f t="shared" si="7"/>
        <v>Middle Age</v>
      </c>
      <c r="N451" t="s">
        <v>18</v>
      </c>
    </row>
    <row r="452" spans="1:14" x14ac:dyDescent="0.25">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25">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25">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25">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25">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25">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x14ac:dyDescent="0.25">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25">
      <c r="A460">
        <v>21560</v>
      </c>
      <c r="B460" t="s">
        <v>32</v>
      </c>
      <c r="C460" t="s">
        <v>35</v>
      </c>
      <c r="D460" s="2">
        <v>120000</v>
      </c>
      <c r="E460">
        <v>0</v>
      </c>
      <c r="F460" t="s">
        <v>29</v>
      </c>
      <c r="G460" t="s">
        <v>21</v>
      </c>
      <c r="H460" t="s">
        <v>15</v>
      </c>
      <c r="I460">
        <v>4</v>
      </c>
      <c r="J460" t="s">
        <v>42</v>
      </c>
      <c r="K460" t="s">
        <v>24</v>
      </c>
      <c r="L460">
        <v>32</v>
      </c>
      <c r="M460" t="str">
        <f t="shared" si="7"/>
        <v>Middle Age</v>
      </c>
      <c r="N460" t="s">
        <v>15</v>
      </c>
    </row>
    <row r="461" spans="1:14" x14ac:dyDescent="0.25">
      <c r="A461">
        <v>21554</v>
      </c>
      <c r="B461" t="s">
        <v>33</v>
      </c>
      <c r="C461" t="s">
        <v>34</v>
      </c>
      <c r="D461" s="2">
        <v>80000</v>
      </c>
      <c r="E461">
        <v>0</v>
      </c>
      <c r="F461" t="s">
        <v>13</v>
      </c>
      <c r="G461" t="s">
        <v>21</v>
      </c>
      <c r="H461" t="s">
        <v>18</v>
      </c>
      <c r="I461">
        <v>3</v>
      </c>
      <c r="J461" t="s">
        <v>42</v>
      </c>
      <c r="K461" t="s">
        <v>24</v>
      </c>
      <c r="L461">
        <v>33</v>
      </c>
      <c r="M461" t="str">
        <f t="shared" si="7"/>
        <v>Middle Age</v>
      </c>
      <c r="N461" t="s">
        <v>18</v>
      </c>
    </row>
    <row r="462" spans="1:14" x14ac:dyDescent="0.25">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25">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25">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25">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25">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25">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25">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25">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25">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25">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25">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25">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25">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25">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25">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25">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25">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25">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25">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25">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25">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25">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25">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25">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25">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25">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25">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25">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25">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25">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25">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25">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25">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25">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25">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25">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25">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25">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25">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25">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25">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25">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25">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25">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25">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25">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25">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25">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25">
      <c r="A514">
        <v>18052</v>
      </c>
      <c r="B514" t="s">
        <v>32</v>
      </c>
      <c r="C514" t="s">
        <v>34</v>
      </c>
      <c r="D514" s="2">
        <v>60000</v>
      </c>
      <c r="E514">
        <v>1</v>
      </c>
      <c r="F514" t="s">
        <v>19</v>
      </c>
      <c r="G514" t="s">
        <v>14</v>
      </c>
      <c r="H514" t="s">
        <v>15</v>
      </c>
      <c r="I514">
        <v>1</v>
      </c>
      <c r="J514" t="s">
        <v>16</v>
      </c>
      <c r="K514" t="s">
        <v>31</v>
      </c>
      <c r="L514">
        <v>45</v>
      </c>
      <c r="M514" t="str">
        <f t="shared" ref="M514:M577" si="8">IF(L514&gt;54,"Old",IF(L514&gt;=31,"Middle Age",IF(L514&lt;31,"Adolescent","Invalid")))</f>
        <v>Middle Age</v>
      </c>
      <c r="N514" t="s">
        <v>15</v>
      </c>
    </row>
    <row r="515" spans="1:14" x14ac:dyDescent="0.25">
      <c r="A515">
        <v>13353</v>
      </c>
      <c r="B515" t="s">
        <v>33</v>
      </c>
      <c r="C515" t="s">
        <v>34</v>
      </c>
      <c r="D515" s="2">
        <v>60000</v>
      </c>
      <c r="E515">
        <v>4</v>
      </c>
      <c r="F515" t="s">
        <v>30</v>
      </c>
      <c r="G515" t="s">
        <v>28</v>
      </c>
      <c r="H515" t="s">
        <v>15</v>
      </c>
      <c r="I515">
        <v>2</v>
      </c>
      <c r="J515" t="s">
        <v>42</v>
      </c>
      <c r="K515" t="s">
        <v>31</v>
      </c>
      <c r="L515">
        <v>61</v>
      </c>
      <c r="M515" t="str">
        <f t="shared" si="8"/>
        <v>Old</v>
      </c>
      <c r="N515" t="s">
        <v>15</v>
      </c>
    </row>
    <row r="516" spans="1:14" x14ac:dyDescent="0.25">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25">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25">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25">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25">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25">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25">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25">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25">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25">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25">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25">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25">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25">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25">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25">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25">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25">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25">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25">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25">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25">
      <c r="A537">
        <v>23893</v>
      </c>
      <c r="B537" t="s">
        <v>32</v>
      </c>
      <c r="C537" t="s">
        <v>35</v>
      </c>
      <c r="D537" s="2">
        <v>50000</v>
      </c>
      <c r="E537">
        <v>3</v>
      </c>
      <c r="F537" t="s">
        <v>13</v>
      </c>
      <c r="G537" t="s">
        <v>14</v>
      </c>
      <c r="H537" t="s">
        <v>15</v>
      </c>
      <c r="I537">
        <v>3</v>
      </c>
      <c r="J537" t="s">
        <v>42</v>
      </c>
      <c r="K537" t="s">
        <v>31</v>
      </c>
      <c r="L537">
        <v>41</v>
      </c>
      <c r="M537" t="str">
        <f t="shared" si="8"/>
        <v>Middle Age</v>
      </c>
      <c r="N537" t="s">
        <v>18</v>
      </c>
    </row>
    <row r="538" spans="1:14" x14ac:dyDescent="0.25">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25">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25">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25">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25">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x14ac:dyDescent="0.25">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25">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25">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25">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25">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25">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25">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x14ac:dyDescent="0.25">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25">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25">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25">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25">
      <c r="A554">
        <v>14417</v>
      </c>
      <c r="B554" t="s">
        <v>33</v>
      </c>
      <c r="C554" t="s">
        <v>35</v>
      </c>
      <c r="D554" s="2">
        <v>60000</v>
      </c>
      <c r="E554">
        <v>3</v>
      </c>
      <c r="F554" t="s">
        <v>27</v>
      </c>
      <c r="G554" t="s">
        <v>21</v>
      </c>
      <c r="H554" t="s">
        <v>15</v>
      </c>
      <c r="I554">
        <v>2</v>
      </c>
      <c r="J554" t="s">
        <v>42</v>
      </c>
      <c r="K554" t="s">
        <v>31</v>
      </c>
      <c r="L554">
        <v>54</v>
      </c>
      <c r="M554" t="str">
        <f t="shared" si="8"/>
        <v>Middle Age</v>
      </c>
      <c r="N554" t="s">
        <v>15</v>
      </c>
    </row>
    <row r="555" spans="1:14" x14ac:dyDescent="0.25">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25">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25">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25">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25">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25">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25">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25">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25">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25">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25">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25">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25">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x14ac:dyDescent="0.25">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25">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25">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25">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25">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x14ac:dyDescent="0.25">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x14ac:dyDescent="0.25">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25">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25">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25">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25">
      <c r="A578">
        <v>18752</v>
      </c>
      <c r="B578" t="s">
        <v>33</v>
      </c>
      <c r="C578" t="s">
        <v>34</v>
      </c>
      <c r="D578" s="2">
        <v>40000</v>
      </c>
      <c r="E578">
        <v>0</v>
      </c>
      <c r="F578" t="s">
        <v>27</v>
      </c>
      <c r="G578" t="s">
        <v>14</v>
      </c>
      <c r="H578" t="s">
        <v>15</v>
      </c>
      <c r="I578">
        <v>1</v>
      </c>
      <c r="J578" t="s">
        <v>23</v>
      </c>
      <c r="K578" t="s">
        <v>31</v>
      </c>
      <c r="L578">
        <v>31</v>
      </c>
      <c r="M578" t="str">
        <f t="shared" ref="M578:M641" si="9">IF(L578&gt;54,"Old",IF(L578&gt;=31,"Middle Age",IF(L578&lt;31,"Adolescent","Invalid")))</f>
        <v>Middle Age</v>
      </c>
      <c r="N578" t="s">
        <v>18</v>
      </c>
    </row>
    <row r="579" spans="1:14" x14ac:dyDescent="0.25">
      <c r="A579">
        <v>16917</v>
      </c>
      <c r="B579" t="s">
        <v>32</v>
      </c>
      <c r="C579" t="s">
        <v>35</v>
      </c>
      <c r="D579" s="2">
        <v>120000</v>
      </c>
      <c r="E579">
        <v>1</v>
      </c>
      <c r="F579" t="s">
        <v>13</v>
      </c>
      <c r="G579" t="s">
        <v>28</v>
      </c>
      <c r="H579" t="s">
        <v>15</v>
      </c>
      <c r="I579">
        <v>4</v>
      </c>
      <c r="J579" t="s">
        <v>16</v>
      </c>
      <c r="K579" t="s">
        <v>31</v>
      </c>
      <c r="L579">
        <v>38</v>
      </c>
      <c r="M579" t="str">
        <f t="shared" si="9"/>
        <v>Middle Age</v>
      </c>
      <c r="N579" t="s">
        <v>18</v>
      </c>
    </row>
    <row r="580" spans="1:14" x14ac:dyDescent="0.25">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25">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25">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25">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25">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25">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25">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25">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25">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x14ac:dyDescent="0.25">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25">
      <c r="A590">
        <v>16871</v>
      </c>
      <c r="B590" t="s">
        <v>32</v>
      </c>
      <c r="C590" t="s">
        <v>34</v>
      </c>
      <c r="D590" s="2">
        <v>90000</v>
      </c>
      <c r="E590">
        <v>2</v>
      </c>
      <c r="F590" t="s">
        <v>27</v>
      </c>
      <c r="G590" t="s">
        <v>21</v>
      </c>
      <c r="H590" t="s">
        <v>15</v>
      </c>
      <c r="I590">
        <v>1</v>
      </c>
      <c r="J590" t="s">
        <v>42</v>
      </c>
      <c r="K590" t="s">
        <v>31</v>
      </c>
      <c r="L590">
        <v>51</v>
      </c>
      <c r="M590" t="str">
        <f t="shared" si="9"/>
        <v>Middle Age</v>
      </c>
      <c r="N590" t="s">
        <v>15</v>
      </c>
    </row>
    <row r="591" spans="1:14" x14ac:dyDescent="0.25">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25">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25">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25">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25">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25">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25">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25">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25">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25">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25">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25">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25">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25">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25">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25">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25">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25">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25">
      <c r="A609">
        <v>16145</v>
      </c>
      <c r="B609" t="s">
        <v>33</v>
      </c>
      <c r="C609" t="s">
        <v>34</v>
      </c>
      <c r="D609" s="2">
        <v>70000</v>
      </c>
      <c r="E609">
        <v>5</v>
      </c>
      <c r="F609" t="s">
        <v>30</v>
      </c>
      <c r="G609" t="s">
        <v>21</v>
      </c>
      <c r="H609" t="s">
        <v>15</v>
      </c>
      <c r="I609">
        <v>3</v>
      </c>
      <c r="J609" t="s">
        <v>42</v>
      </c>
      <c r="K609" t="s">
        <v>31</v>
      </c>
      <c r="L609">
        <v>46</v>
      </c>
      <c r="M609" t="str">
        <f t="shared" si="9"/>
        <v>Middle Age</v>
      </c>
      <c r="N609" t="s">
        <v>15</v>
      </c>
    </row>
    <row r="610" spans="1:14" x14ac:dyDescent="0.25">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x14ac:dyDescent="0.25">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25">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25">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25">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25">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25">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25">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25">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25">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25">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25">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25">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25">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25">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25">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x14ac:dyDescent="0.25">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25">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25">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25">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25">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x14ac:dyDescent="0.25">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25">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25">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25">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25">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25">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25">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25">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25">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25">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25">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25">
      <c r="A642">
        <v>25886</v>
      </c>
      <c r="B642" t="s">
        <v>32</v>
      </c>
      <c r="C642" t="s">
        <v>34</v>
      </c>
      <c r="D642" s="2">
        <v>60000</v>
      </c>
      <c r="E642">
        <v>2</v>
      </c>
      <c r="F642" t="s">
        <v>19</v>
      </c>
      <c r="G642" t="s">
        <v>21</v>
      </c>
      <c r="H642" t="s">
        <v>15</v>
      </c>
      <c r="I642">
        <v>2</v>
      </c>
      <c r="J642" t="s">
        <v>22</v>
      </c>
      <c r="K642" t="s">
        <v>31</v>
      </c>
      <c r="L642">
        <v>56</v>
      </c>
      <c r="M642" t="str">
        <f t="shared" ref="M642:M705" si="10">IF(L642&gt;54,"Old",IF(L642&gt;=31,"Middle Age",IF(L642&lt;31,"Adolescent","Invalid")))</f>
        <v>Old</v>
      </c>
      <c r="N642" t="s">
        <v>15</v>
      </c>
    </row>
    <row r="643" spans="1:14" x14ac:dyDescent="0.25">
      <c r="A643">
        <v>21441</v>
      </c>
      <c r="B643" t="s">
        <v>32</v>
      </c>
      <c r="C643" t="s">
        <v>35</v>
      </c>
      <c r="D643" s="2">
        <v>50000</v>
      </c>
      <c r="E643">
        <v>4</v>
      </c>
      <c r="F643" t="s">
        <v>13</v>
      </c>
      <c r="G643" t="s">
        <v>28</v>
      </c>
      <c r="H643" t="s">
        <v>15</v>
      </c>
      <c r="I643">
        <v>2</v>
      </c>
      <c r="J643" t="s">
        <v>42</v>
      </c>
      <c r="K643" t="s">
        <v>31</v>
      </c>
      <c r="L643">
        <v>64</v>
      </c>
      <c r="M643" t="str">
        <f t="shared" si="10"/>
        <v>Old</v>
      </c>
      <c r="N643" t="s">
        <v>18</v>
      </c>
    </row>
    <row r="644" spans="1:14" x14ac:dyDescent="0.25">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25">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25">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25">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25">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25">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25">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25">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25">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25">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25">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25">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25">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25">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25">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25">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25">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25">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25">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25">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25">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25">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25">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25">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25">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25">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25">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25">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25">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25">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25">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25">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25">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25">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25">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25">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25">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25">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25">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25">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25">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25">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25">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25">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25">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25">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25">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25">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25">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25">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25">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25">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25">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25">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25">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25">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25">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25">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25">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25">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25">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25">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25">
      <c r="A706">
        <v>29132</v>
      </c>
      <c r="B706" t="s">
        <v>33</v>
      </c>
      <c r="C706" t="s">
        <v>34</v>
      </c>
      <c r="D706" s="2">
        <v>40000</v>
      </c>
      <c r="E706">
        <v>0</v>
      </c>
      <c r="F706" t="s">
        <v>13</v>
      </c>
      <c r="G706" t="s">
        <v>21</v>
      </c>
      <c r="H706" t="s">
        <v>15</v>
      </c>
      <c r="I706">
        <v>1</v>
      </c>
      <c r="J706" t="s">
        <v>22</v>
      </c>
      <c r="K706" t="s">
        <v>31</v>
      </c>
      <c r="L706">
        <v>42</v>
      </c>
      <c r="M706" t="str">
        <f t="shared" ref="M706:M769" si="11">IF(L706&gt;54,"Old",IF(L706&gt;=31,"Middle Age",IF(L706&lt;31,"Adolescent","Invalid")))</f>
        <v>Middle Age</v>
      </c>
      <c r="N706" t="s">
        <v>15</v>
      </c>
    </row>
    <row r="707" spans="1:14" x14ac:dyDescent="0.25">
      <c r="A707">
        <v>11199</v>
      </c>
      <c r="B707" t="s">
        <v>32</v>
      </c>
      <c r="C707" t="s">
        <v>34</v>
      </c>
      <c r="D707" s="2">
        <v>70000</v>
      </c>
      <c r="E707">
        <v>4</v>
      </c>
      <c r="F707" t="s">
        <v>13</v>
      </c>
      <c r="G707" t="s">
        <v>28</v>
      </c>
      <c r="H707" t="s">
        <v>15</v>
      </c>
      <c r="I707">
        <v>1</v>
      </c>
      <c r="J707" t="s">
        <v>42</v>
      </c>
      <c r="K707" t="s">
        <v>31</v>
      </c>
      <c r="L707">
        <v>59</v>
      </c>
      <c r="M707" t="str">
        <f t="shared" si="11"/>
        <v>Old</v>
      </c>
      <c r="N707" t="s">
        <v>18</v>
      </c>
    </row>
    <row r="708" spans="1:14" x14ac:dyDescent="0.25">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25">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25">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25">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25">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25">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25">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25">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25">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25">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25">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25">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25">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25">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25">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25">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25">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x14ac:dyDescent="0.25">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25">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25">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25">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x14ac:dyDescent="0.25">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25">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25">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25">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25">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25">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25">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25">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25">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25">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25">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25">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25">
      <c r="A741">
        <v>11225</v>
      </c>
      <c r="B741" t="s">
        <v>32</v>
      </c>
      <c r="C741" t="s">
        <v>34</v>
      </c>
      <c r="D741" s="2">
        <v>60000</v>
      </c>
      <c r="E741">
        <v>2</v>
      </c>
      <c r="F741" t="s">
        <v>19</v>
      </c>
      <c r="G741" t="s">
        <v>21</v>
      </c>
      <c r="H741" t="s">
        <v>15</v>
      </c>
      <c r="I741">
        <v>1</v>
      </c>
      <c r="J741" t="s">
        <v>42</v>
      </c>
      <c r="K741" t="s">
        <v>31</v>
      </c>
      <c r="L741">
        <v>55</v>
      </c>
      <c r="M741" t="str">
        <f t="shared" si="11"/>
        <v>Old</v>
      </c>
      <c r="N741" t="s">
        <v>18</v>
      </c>
    </row>
    <row r="742" spans="1:14" x14ac:dyDescent="0.25">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25">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25">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25">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25">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25">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25">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25">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25">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25">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25">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25">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25">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25">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25">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25">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25">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25">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x14ac:dyDescent="0.25">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25">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25">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25">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25">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25">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25">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25">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25">
      <c r="A768">
        <v>14608</v>
      </c>
      <c r="B768" t="s">
        <v>32</v>
      </c>
      <c r="C768" t="s">
        <v>35</v>
      </c>
      <c r="D768" s="2">
        <v>50000</v>
      </c>
      <c r="E768">
        <v>4</v>
      </c>
      <c r="F768" t="s">
        <v>13</v>
      </c>
      <c r="G768" t="s">
        <v>14</v>
      </c>
      <c r="H768" t="s">
        <v>15</v>
      </c>
      <c r="I768">
        <v>3</v>
      </c>
      <c r="J768" t="s">
        <v>42</v>
      </c>
      <c r="K768" t="s">
        <v>31</v>
      </c>
      <c r="L768">
        <v>42</v>
      </c>
      <c r="M768" t="str">
        <f t="shared" si="11"/>
        <v>Middle Age</v>
      </c>
      <c r="N768" t="s">
        <v>18</v>
      </c>
    </row>
    <row r="769" spans="1:14" x14ac:dyDescent="0.25">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25">
      <c r="A770">
        <v>13313</v>
      </c>
      <c r="B770" t="s">
        <v>32</v>
      </c>
      <c r="C770" t="s">
        <v>34</v>
      </c>
      <c r="D770" s="2">
        <v>120000</v>
      </c>
      <c r="E770">
        <v>1</v>
      </c>
      <c r="F770" t="s">
        <v>27</v>
      </c>
      <c r="G770" t="s">
        <v>21</v>
      </c>
      <c r="H770" t="s">
        <v>18</v>
      </c>
      <c r="I770">
        <v>4</v>
      </c>
      <c r="J770" t="s">
        <v>22</v>
      </c>
      <c r="K770" t="s">
        <v>31</v>
      </c>
      <c r="L770">
        <v>45</v>
      </c>
      <c r="M770" t="str">
        <f t="shared" ref="M770:M833" si="12">IF(L770&gt;54,"Old",IF(L770&gt;=31,"Middle Age",IF(L770&lt;31,"Adolescent","Invalid")))</f>
        <v>Middle Age</v>
      </c>
      <c r="N770" t="s">
        <v>18</v>
      </c>
    </row>
    <row r="771" spans="1:14" x14ac:dyDescent="0.25">
      <c r="A771">
        <v>18952</v>
      </c>
      <c r="B771" t="s">
        <v>32</v>
      </c>
      <c r="C771" t="s">
        <v>34</v>
      </c>
      <c r="D771" s="2">
        <v>100000</v>
      </c>
      <c r="E771">
        <v>4</v>
      </c>
      <c r="F771" t="s">
        <v>13</v>
      </c>
      <c r="G771" t="s">
        <v>28</v>
      </c>
      <c r="H771" t="s">
        <v>15</v>
      </c>
      <c r="I771">
        <v>4</v>
      </c>
      <c r="J771" t="s">
        <v>16</v>
      </c>
      <c r="K771" t="s">
        <v>31</v>
      </c>
      <c r="L771">
        <v>40</v>
      </c>
      <c r="M771" t="str">
        <f t="shared" si="12"/>
        <v>Middle Age</v>
      </c>
      <c r="N771" t="s">
        <v>18</v>
      </c>
    </row>
    <row r="772" spans="1:14" x14ac:dyDescent="0.25">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x14ac:dyDescent="0.25">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25">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25">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25">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25">
      <c r="A777">
        <v>29030</v>
      </c>
      <c r="B777" t="s">
        <v>32</v>
      </c>
      <c r="C777" t="s">
        <v>35</v>
      </c>
      <c r="D777" s="2">
        <v>70000</v>
      </c>
      <c r="E777">
        <v>2</v>
      </c>
      <c r="F777" t="s">
        <v>29</v>
      </c>
      <c r="G777" t="s">
        <v>14</v>
      </c>
      <c r="H777" t="s">
        <v>15</v>
      </c>
      <c r="I777">
        <v>2</v>
      </c>
      <c r="J777" t="s">
        <v>42</v>
      </c>
      <c r="K777" t="s">
        <v>31</v>
      </c>
      <c r="L777">
        <v>54</v>
      </c>
      <c r="M777" t="str">
        <f t="shared" si="12"/>
        <v>Middle Age</v>
      </c>
      <c r="N777" t="s">
        <v>18</v>
      </c>
    </row>
    <row r="778" spans="1:14" x14ac:dyDescent="0.25">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25">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25">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25">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25">
      <c r="A782">
        <v>18105</v>
      </c>
      <c r="B782" t="s">
        <v>32</v>
      </c>
      <c r="C782" t="s">
        <v>34</v>
      </c>
      <c r="D782" s="2">
        <v>60000</v>
      </c>
      <c r="E782">
        <v>2</v>
      </c>
      <c r="F782" t="s">
        <v>19</v>
      </c>
      <c r="G782" t="s">
        <v>21</v>
      </c>
      <c r="H782" t="s">
        <v>15</v>
      </c>
      <c r="I782">
        <v>1</v>
      </c>
      <c r="J782" t="s">
        <v>42</v>
      </c>
      <c r="K782" t="s">
        <v>31</v>
      </c>
      <c r="L782">
        <v>55</v>
      </c>
      <c r="M782" t="str">
        <f t="shared" si="12"/>
        <v>Old</v>
      </c>
      <c r="N782" t="s">
        <v>18</v>
      </c>
    </row>
    <row r="783" spans="1:14" x14ac:dyDescent="0.25">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25">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25">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25">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x14ac:dyDescent="0.25">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25">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25">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25">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25">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25">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x14ac:dyDescent="0.25">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25">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25">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25">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25">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25">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25">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25">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25">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25">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25">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25">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25">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25">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25">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25">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x14ac:dyDescent="0.25">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25">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25">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25">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25">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25">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25">
      <c r="A815">
        <v>25899</v>
      </c>
      <c r="B815" t="s">
        <v>32</v>
      </c>
      <c r="C815" t="s">
        <v>34</v>
      </c>
      <c r="D815" s="2">
        <v>70000</v>
      </c>
      <c r="E815">
        <v>2</v>
      </c>
      <c r="F815" t="s">
        <v>27</v>
      </c>
      <c r="G815" t="s">
        <v>21</v>
      </c>
      <c r="H815" t="s">
        <v>15</v>
      </c>
      <c r="I815">
        <v>2</v>
      </c>
      <c r="J815" t="s">
        <v>42</v>
      </c>
      <c r="K815" t="s">
        <v>31</v>
      </c>
      <c r="L815">
        <v>53</v>
      </c>
      <c r="M815" t="str">
        <f t="shared" si="12"/>
        <v>Middle Age</v>
      </c>
      <c r="N815" t="s">
        <v>18</v>
      </c>
    </row>
    <row r="816" spans="1:14" x14ac:dyDescent="0.25">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25">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25">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25">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25">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25">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25">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25">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25">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25">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x14ac:dyDescent="0.25">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25">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25">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25">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25">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25">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25">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25">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25">
      <c r="A834">
        <v>18572</v>
      </c>
      <c r="B834" t="s">
        <v>32</v>
      </c>
      <c r="C834" t="s">
        <v>34</v>
      </c>
      <c r="D834" s="2">
        <v>60000</v>
      </c>
      <c r="E834">
        <v>0</v>
      </c>
      <c r="F834" t="s">
        <v>30</v>
      </c>
      <c r="G834" t="s">
        <v>21</v>
      </c>
      <c r="H834" t="s">
        <v>15</v>
      </c>
      <c r="I834">
        <v>0</v>
      </c>
      <c r="J834" t="s">
        <v>16</v>
      </c>
      <c r="K834" t="s">
        <v>31</v>
      </c>
      <c r="L834">
        <v>39</v>
      </c>
      <c r="M834" t="str">
        <f t="shared" ref="M834:M897" si="13">IF(L834&gt;54,"Old",IF(L834&gt;=31,"Middle Age",IF(L834&lt;31,"Adolescent","Invalid")))</f>
        <v>Middle Age</v>
      </c>
      <c r="N834" t="s">
        <v>18</v>
      </c>
    </row>
    <row r="835" spans="1:14" x14ac:dyDescent="0.25">
      <c r="A835">
        <v>27540</v>
      </c>
      <c r="B835" t="s">
        <v>33</v>
      </c>
      <c r="C835" t="s">
        <v>34</v>
      </c>
      <c r="D835" s="2">
        <v>70000</v>
      </c>
      <c r="E835">
        <v>0</v>
      </c>
      <c r="F835" t="s">
        <v>13</v>
      </c>
      <c r="G835" t="s">
        <v>21</v>
      </c>
      <c r="H835" t="s">
        <v>18</v>
      </c>
      <c r="I835">
        <v>1</v>
      </c>
      <c r="J835" t="s">
        <v>16</v>
      </c>
      <c r="K835" t="s">
        <v>31</v>
      </c>
      <c r="L835">
        <v>37</v>
      </c>
      <c r="M835" t="str">
        <f t="shared" si="13"/>
        <v>Middle Age</v>
      </c>
      <c r="N835" t="s">
        <v>15</v>
      </c>
    </row>
    <row r="836" spans="1:14" x14ac:dyDescent="0.25">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x14ac:dyDescent="0.25">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25">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25">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25">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25">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25">
      <c r="A842">
        <v>11233</v>
      </c>
      <c r="B842" t="s">
        <v>32</v>
      </c>
      <c r="C842" t="s">
        <v>35</v>
      </c>
      <c r="D842" s="2">
        <v>70000</v>
      </c>
      <c r="E842">
        <v>4</v>
      </c>
      <c r="F842" t="s">
        <v>19</v>
      </c>
      <c r="G842" t="s">
        <v>21</v>
      </c>
      <c r="H842" t="s">
        <v>15</v>
      </c>
      <c r="I842">
        <v>2</v>
      </c>
      <c r="J842" t="s">
        <v>42</v>
      </c>
      <c r="K842" t="s">
        <v>31</v>
      </c>
      <c r="L842">
        <v>53</v>
      </c>
      <c r="M842" t="str">
        <f t="shared" si="13"/>
        <v>Middle Age</v>
      </c>
      <c r="N842" t="s">
        <v>18</v>
      </c>
    </row>
    <row r="843" spans="1:14" x14ac:dyDescent="0.25">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25">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25">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x14ac:dyDescent="0.25">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25">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25">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25">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25">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25">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25">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25">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25">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25">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25">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25">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25">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25">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25">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25">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25">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25">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25">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25">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25">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25">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25">
      <c r="A868">
        <v>28052</v>
      </c>
      <c r="B868" t="s">
        <v>32</v>
      </c>
      <c r="C868" t="s">
        <v>35</v>
      </c>
      <c r="D868" s="2">
        <v>60000</v>
      </c>
      <c r="E868">
        <v>2</v>
      </c>
      <c r="F868" t="s">
        <v>27</v>
      </c>
      <c r="G868" t="s">
        <v>21</v>
      </c>
      <c r="H868" t="s">
        <v>15</v>
      </c>
      <c r="I868">
        <v>2</v>
      </c>
      <c r="J868" t="s">
        <v>42</v>
      </c>
      <c r="K868" t="s">
        <v>31</v>
      </c>
      <c r="L868">
        <v>55</v>
      </c>
      <c r="M868" t="str">
        <f t="shared" si="13"/>
        <v>Old</v>
      </c>
      <c r="N868" t="s">
        <v>18</v>
      </c>
    </row>
    <row r="869" spans="1:14" x14ac:dyDescent="0.25">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25">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25">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25">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25">
      <c r="A873">
        <v>11219</v>
      </c>
      <c r="B873" t="s">
        <v>32</v>
      </c>
      <c r="C873" t="s">
        <v>35</v>
      </c>
      <c r="D873" s="2">
        <v>60000</v>
      </c>
      <c r="E873">
        <v>2</v>
      </c>
      <c r="F873" t="s">
        <v>27</v>
      </c>
      <c r="G873" t="s">
        <v>21</v>
      </c>
      <c r="H873" t="s">
        <v>15</v>
      </c>
      <c r="I873">
        <v>2</v>
      </c>
      <c r="J873" t="s">
        <v>42</v>
      </c>
      <c r="K873" t="s">
        <v>31</v>
      </c>
      <c r="L873">
        <v>55</v>
      </c>
      <c r="M873" t="str">
        <f t="shared" si="13"/>
        <v>Old</v>
      </c>
      <c r="N873" t="s">
        <v>18</v>
      </c>
    </row>
    <row r="874" spans="1:14" x14ac:dyDescent="0.25">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25">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25">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25">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25">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25">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25">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25">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25">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25">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25">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25">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25">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25">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25">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25">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25">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25">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25">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25">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25">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25">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25">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25">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25">
      <c r="A898">
        <v>21583</v>
      </c>
      <c r="B898" t="s">
        <v>32</v>
      </c>
      <c r="C898" t="s">
        <v>34</v>
      </c>
      <c r="D898" s="2">
        <v>50000</v>
      </c>
      <c r="E898">
        <v>1</v>
      </c>
      <c r="F898" t="s">
        <v>13</v>
      </c>
      <c r="G898" t="s">
        <v>14</v>
      </c>
      <c r="H898" t="s">
        <v>15</v>
      </c>
      <c r="I898">
        <v>0</v>
      </c>
      <c r="J898" t="s">
        <v>16</v>
      </c>
      <c r="K898" t="s">
        <v>31</v>
      </c>
      <c r="L898">
        <v>34</v>
      </c>
      <c r="M898" t="str">
        <f t="shared" ref="M898:M961" si="14">IF(L898&gt;54,"Old",IF(L898&gt;=31,"Middle Age",IF(L898&lt;31,"Adolescent","Invalid")))</f>
        <v>Middle Age</v>
      </c>
      <c r="N898" t="s">
        <v>15</v>
      </c>
    </row>
    <row r="899" spans="1:14" x14ac:dyDescent="0.25">
      <c r="A899">
        <v>12029</v>
      </c>
      <c r="B899" t="s">
        <v>32</v>
      </c>
      <c r="C899" t="s">
        <v>35</v>
      </c>
      <c r="D899" s="2">
        <v>30000</v>
      </c>
      <c r="E899">
        <v>0</v>
      </c>
      <c r="F899" t="s">
        <v>29</v>
      </c>
      <c r="G899" t="s">
        <v>20</v>
      </c>
      <c r="H899" t="s">
        <v>18</v>
      </c>
      <c r="I899">
        <v>2</v>
      </c>
      <c r="J899" t="s">
        <v>16</v>
      </c>
      <c r="K899" t="s">
        <v>31</v>
      </c>
      <c r="L899">
        <v>28</v>
      </c>
      <c r="M899" t="str">
        <f t="shared" si="14"/>
        <v>Adolescent</v>
      </c>
      <c r="N899" t="s">
        <v>18</v>
      </c>
    </row>
    <row r="900" spans="1:14" x14ac:dyDescent="0.25">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25">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25">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25">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25">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25">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25">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25">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25">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25">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25">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25">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25">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25">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25">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25">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25">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25">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25">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25">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25">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25">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25">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x14ac:dyDescent="0.25">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25">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25">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x14ac:dyDescent="0.25">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25">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25">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25">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25">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25">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25">
      <c r="A932">
        <v>19543</v>
      </c>
      <c r="B932" t="s">
        <v>32</v>
      </c>
      <c r="C932" t="s">
        <v>35</v>
      </c>
      <c r="D932" s="2">
        <v>70000</v>
      </c>
      <c r="E932">
        <v>5</v>
      </c>
      <c r="F932" t="s">
        <v>30</v>
      </c>
      <c r="G932" t="s">
        <v>21</v>
      </c>
      <c r="H932" t="s">
        <v>18</v>
      </c>
      <c r="I932">
        <v>3</v>
      </c>
      <c r="J932" t="s">
        <v>42</v>
      </c>
      <c r="K932" t="s">
        <v>31</v>
      </c>
      <c r="L932">
        <v>47</v>
      </c>
      <c r="M932" t="str">
        <f t="shared" si="14"/>
        <v>Middle Age</v>
      </c>
      <c r="N932" t="s">
        <v>18</v>
      </c>
    </row>
    <row r="933" spans="1:14" x14ac:dyDescent="0.25">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25">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25">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25">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25">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25">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25">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25">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25">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x14ac:dyDescent="0.25">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25">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25">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25">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25">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25">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25">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25">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25">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25">
      <c r="A951">
        <v>28056</v>
      </c>
      <c r="B951" t="s">
        <v>32</v>
      </c>
      <c r="C951" t="s">
        <v>35</v>
      </c>
      <c r="D951" s="2">
        <v>70000</v>
      </c>
      <c r="E951">
        <v>2</v>
      </c>
      <c r="F951" t="s">
        <v>29</v>
      </c>
      <c r="G951" t="s">
        <v>14</v>
      </c>
      <c r="H951" t="s">
        <v>15</v>
      </c>
      <c r="I951">
        <v>2</v>
      </c>
      <c r="J951" t="s">
        <v>42</v>
      </c>
      <c r="K951" t="s">
        <v>31</v>
      </c>
      <c r="L951">
        <v>53</v>
      </c>
      <c r="M951" t="str">
        <f t="shared" si="14"/>
        <v>Middle Age</v>
      </c>
      <c r="N951" t="s">
        <v>18</v>
      </c>
    </row>
    <row r="952" spans="1:14" x14ac:dyDescent="0.25">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25">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25">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25">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25">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25">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25">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25">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25">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25">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25">
      <c r="A962">
        <v>23491</v>
      </c>
      <c r="B962" t="s">
        <v>33</v>
      </c>
      <c r="C962" t="s">
        <v>35</v>
      </c>
      <c r="D962" s="2">
        <v>100000</v>
      </c>
      <c r="E962">
        <v>0</v>
      </c>
      <c r="F962" t="s">
        <v>19</v>
      </c>
      <c r="G962" t="s">
        <v>21</v>
      </c>
      <c r="H962" t="s">
        <v>18</v>
      </c>
      <c r="I962">
        <v>4</v>
      </c>
      <c r="J962" t="s">
        <v>26</v>
      </c>
      <c r="K962" t="s">
        <v>31</v>
      </c>
      <c r="L962">
        <v>45</v>
      </c>
      <c r="M962" t="str">
        <f t="shared" ref="M962:M1001" si="15">IF(L962&gt;54,"Old",IF(L962&gt;=31,"Middle Age",IF(L962&lt;31,"Adolescent","Invalid")))</f>
        <v>Middle Age</v>
      </c>
      <c r="N962" t="s">
        <v>18</v>
      </c>
    </row>
    <row r="963" spans="1:14" x14ac:dyDescent="0.25">
      <c r="A963">
        <v>16651</v>
      </c>
      <c r="B963" t="s">
        <v>32</v>
      </c>
      <c r="C963" t="s">
        <v>34</v>
      </c>
      <c r="D963" s="2">
        <v>120000</v>
      </c>
      <c r="E963">
        <v>2</v>
      </c>
      <c r="F963" t="s">
        <v>13</v>
      </c>
      <c r="G963" t="s">
        <v>28</v>
      </c>
      <c r="H963" t="s">
        <v>15</v>
      </c>
      <c r="I963">
        <v>3</v>
      </c>
      <c r="J963" t="s">
        <v>23</v>
      </c>
      <c r="K963" t="s">
        <v>31</v>
      </c>
      <c r="L963">
        <v>62</v>
      </c>
      <c r="M963" t="str">
        <f t="shared" si="15"/>
        <v>Old</v>
      </c>
      <c r="N963" t="s">
        <v>18</v>
      </c>
    </row>
    <row r="964" spans="1:14" x14ac:dyDescent="0.25">
      <c r="A964">
        <v>16813</v>
      </c>
      <c r="B964" t="s">
        <v>32</v>
      </c>
      <c r="C964" t="s">
        <v>35</v>
      </c>
      <c r="D964" s="2">
        <v>60000</v>
      </c>
      <c r="E964">
        <v>2</v>
      </c>
      <c r="F964" t="s">
        <v>19</v>
      </c>
      <c r="G964" t="s">
        <v>21</v>
      </c>
      <c r="H964" t="s">
        <v>15</v>
      </c>
      <c r="I964">
        <v>2</v>
      </c>
      <c r="J964" t="s">
        <v>42</v>
      </c>
      <c r="K964" t="s">
        <v>31</v>
      </c>
      <c r="L964">
        <v>55</v>
      </c>
      <c r="M964" t="str">
        <f t="shared" si="15"/>
        <v>Old</v>
      </c>
      <c r="N964" t="s">
        <v>18</v>
      </c>
    </row>
    <row r="965" spans="1:14" x14ac:dyDescent="0.25">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25">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25">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25">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25">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25">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25">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25">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25">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25">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25">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25">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x14ac:dyDescent="0.25">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25">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25">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25">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25">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25">
      <c r="A982">
        <v>18594</v>
      </c>
      <c r="B982" t="s">
        <v>33</v>
      </c>
      <c r="C982" t="s">
        <v>34</v>
      </c>
      <c r="D982" s="2">
        <v>80000</v>
      </c>
      <c r="E982">
        <v>3</v>
      </c>
      <c r="F982" t="s">
        <v>13</v>
      </c>
      <c r="G982" t="s">
        <v>14</v>
      </c>
      <c r="H982" t="s">
        <v>15</v>
      </c>
      <c r="I982">
        <v>3</v>
      </c>
      <c r="J982" t="s">
        <v>42</v>
      </c>
      <c r="K982" t="s">
        <v>31</v>
      </c>
      <c r="L982">
        <v>40</v>
      </c>
      <c r="M982" t="str">
        <f t="shared" si="15"/>
        <v>Middle Age</v>
      </c>
      <c r="N982" t="s">
        <v>15</v>
      </c>
    </row>
    <row r="983" spans="1:14" x14ac:dyDescent="0.25">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25">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25">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25">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25">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25">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25">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25">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25">
      <c r="A991">
        <v>29134</v>
      </c>
      <c r="B991" t="s">
        <v>32</v>
      </c>
      <c r="C991" t="s">
        <v>35</v>
      </c>
      <c r="D991" s="2">
        <v>60000</v>
      </c>
      <c r="E991">
        <v>4</v>
      </c>
      <c r="F991" t="s">
        <v>13</v>
      </c>
      <c r="G991" t="s">
        <v>14</v>
      </c>
      <c r="H991" t="s">
        <v>18</v>
      </c>
      <c r="I991">
        <v>3</v>
      </c>
      <c r="J991" t="s">
        <v>42</v>
      </c>
      <c r="K991" t="s">
        <v>31</v>
      </c>
      <c r="L991">
        <v>42</v>
      </c>
      <c r="M991" t="str">
        <f t="shared" si="15"/>
        <v>Middle Age</v>
      </c>
      <c r="N991" t="s">
        <v>18</v>
      </c>
    </row>
    <row r="992" spans="1:14" x14ac:dyDescent="0.25">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25">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25">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25">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25">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25">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x14ac:dyDescent="0.25">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25">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25">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x14ac:dyDescent="0.25">
      <c r="A1001">
        <v>12121</v>
      </c>
      <c r="B1001" t="s">
        <v>33</v>
      </c>
      <c r="C1001" t="s">
        <v>35</v>
      </c>
      <c r="D1001" s="2">
        <v>60000</v>
      </c>
      <c r="E1001">
        <v>3</v>
      </c>
      <c r="F1001" t="s">
        <v>27</v>
      </c>
      <c r="G1001" t="s">
        <v>21</v>
      </c>
      <c r="H1001" t="s">
        <v>15</v>
      </c>
      <c r="I1001">
        <v>2</v>
      </c>
      <c r="J1001" t="s">
        <v>42</v>
      </c>
      <c r="K1001" t="s">
        <v>31</v>
      </c>
      <c r="L1001">
        <v>53</v>
      </c>
      <c r="M1001" t="str">
        <f t="shared" si="15"/>
        <v>Middle Age</v>
      </c>
      <c r="N1001" t="s">
        <v>15</v>
      </c>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02" xr:uid="{40896173-704A-4AA7-A342-D8938FF95C3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2146-25F2-4B21-B5AC-39F438A742B0}">
  <dimension ref="A4:G46"/>
  <sheetViews>
    <sheetView tabSelected="1" topLeftCell="A25" zoomScaleNormal="100" workbookViewId="0">
      <selection activeCell="C17" sqref="C17"/>
    </sheetView>
  </sheetViews>
  <sheetFormatPr defaultRowHeight="15" x14ac:dyDescent="0.25"/>
  <cols>
    <col min="1" max="1" width="23.42578125" bestFit="1" customWidth="1"/>
    <col min="2" max="2" width="16.85546875" bestFit="1" customWidth="1"/>
    <col min="3" max="3" width="13.42578125" customWidth="1"/>
    <col min="4" max="4" width="11.28515625" bestFit="1" customWidth="1"/>
  </cols>
  <sheetData>
    <row r="4" spans="1:4" x14ac:dyDescent="0.25">
      <c r="A4" s="3" t="s">
        <v>39</v>
      </c>
      <c r="B4" s="3" t="s">
        <v>40</v>
      </c>
    </row>
    <row r="5" spans="1:4" x14ac:dyDescent="0.25">
      <c r="A5" s="3" t="s">
        <v>37</v>
      </c>
      <c r="B5" t="s">
        <v>18</v>
      </c>
      <c r="C5" t="s">
        <v>15</v>
      </c>
      <c r="D5" t="s">
        <v>38</v>
      </c>
    </row>
    <row r="6" spans="1:4" x14ac:dyDescent="0.25">
      <c r="A6" s="4" t="s">
        <v>34</v>
      </c>
      <c r="B6" s="6">
        <v>53440</v>
      </c>
      <c r="C6" s="6">
        <v>55774.058577405856</v>
      </c>
      <c r="D6" s="6">
        <v>54580.777096114522</v>
      </c>
    </row>
    <row r="7" spans="1:4" x14ac:dyDescent="0.25">
      <c r="A7" s="4" t="s">
        <v>35</v>
      </c>
      <c r="B7" s="6">
        <v>56208.178438661707</v>
      </c>
      <c r="C7" s="6">
        <v>60123.966942148763</v>
      </c>
      <c r="D7" s="6">
        <v>58062.62230919765</v>
      </c>
    </row>
    <row r="8" spans="1:4" x14ac:dyDescent="0.25">
      <c r="A8" s="4" t="s">
        <v>38</v>
      </c>
      <c r="B8" s="6">
        <v>54874.759152215796</v>
      </c>
      <c r="C8" s="6">
        <v>57962.577962577961</v>
      </c>
      <c r="D8" s="6">
        <v>56360</v>
      </c>
    </row>
    <row r="19" spans="1:7" x14ac:dyDescent="0.25">
      <c r="G19" s="5"/>
    </row>
    <row r="23" spans="1:7" x14ac:dyDescent="0.25">
      <c r="A23" s="3" t="s">
        <v>41</v>
      </c>
      <c r="B23" s="3" t="s">
        <v>40</v>
      </c>
    </row>
    <row r="24" spans="1:7" x14ac:dyDescent="0.25">
      <c r="A24" s="3" t="s">
        <v>37</v>
      </c>
      <c r="B24" t="s">
        <v>18</v>
      </c>
      <c r="C24" t="s">
        <v>15</v>
      </c>
      <c r="D24" t="s">
        <v>38</v>
      </c>
    </row>
    <row r="25" spans="1:7" x14ac:dyDescent="0.25">
      <c r="A25" s="4" t="s">
        <v>16</v>
      </c>
      <c r="B25" s="5">
        <v>166</v>
      </c>
      <c r="C25" s="5">
        <v>200</v>
      </c>
      <c r="D25" s="5">
        <v>366</v>
      </c>
    </row>
    <row r="26" spans="1:7" x14ac:dyDescent="0.25">
      <c r="A26" s="4" t="s">
        <v>26</v>
      </c>
      <c r="B26" s="5">
        <v>92</v>
      </c>
      <c r="C26" s="5">
        <v>77</v>
      </c>
      <c r="D26" s="5">
        <v>169</v>
      </c>
    </row>
    <row r="27" spans="1:7" x14ac:dyDescent="0.25">
      <c r="A27" s="4" t="s">
        <v>22</v>
      </c>
      <c r="B27" s="5">
        <v>67</v>
      </c>
      <c r="C27" s="5">
        <v>95</v>
      </c>
      <c r="D27" s="5">
        <v>162</v>
      </c>
    </row>
    <row r="28" spans="1:7" x14ac:dyDescent="0.25">
      <c r="A28" s="4" t="s">
        <v>23</v>
      </c>
      <c r="B28" s="5">
        <v>116</v>
      </c>
      <c r="C28" s="5">
        <v>76</v>
      </c>
      <c r="D28" s="5">
        <v>192</v>
      </c>
    </row>
    <row r="29" spans="1:7" x14ac:dyDescent="0.25">
      <c r="A29" s="4" t="s">
        <v>42</v>
      </c>
      <c r="B29" s="5">
        <v>78</v>
      </c>
      <c r="C29" s="5">
        <v>33</v>
      </c>
      <c r="D29" s="5">
        <v>111</v>
      </c>
    </row>
    <row r="30" spans="1:7" x14ac:dyDescent="0.25">
      <c r="A30" s="4" t="s">
        <v>38</v>
      </c>
      <c r="B30" s="5">
        <v>519</v>
      </c>
      <c r="C30" s="5">
        <v>481</v>
      </c>
      <c r="D30" s="5">
        <v>1000</v>
      </c>
    </row>
    <row r="41" spans="1:4" x14ac:dyDescent="0.25">
      <c r="A41" s="3" t="s">
        <v>41</v>
      </c>
      <c r="B41" s="3" t="s">
        <v>40</v>
      </c>
    </row>
    <row r="42" spans="1:4" x14ac:dyDescent="0.25">
      <c r="A42" s="3" t="s">
        <v>37</v>
      </c>
      <c r="B42" t="s">
        <v>18</v>
      </c>
      <c r="C42" t="s">
        <v>15</v>
      </c>
      <c r="D42" t="s">
        <v>38</v>
      </c>
    </row>
    <row r="43" spans="1:4" x14ac:dyDescent="0.25">
      <c r="A43" s="4" t="s">
        <v>43</v>
      </c>
      <c r="B43" s="5">
        <v>71</v>
      </c>
      <c r="C43" s="5">
        <v>39</v>
      </c>
      <c r="D43" s="5">
        <v>110</v>
      </c>
    </row>
    <row r="44" spans="1:4" x14ac:dyDescent="0.25">
      <c r="A44" s="4" t="s">
        <v>44</v>
      </c>
      <c r="B44" s="5">
        <v>318</v>
      </c>
      <c r="C44" s="5">
        <v>383</v>
      </c>
      <c r="D44" s="5">
        <v>701</v>
      </c>
    </row>
    <row r="45" spans="1:4" x14ac:dyDescent="0.25">
      <c r="A45" s="4" t="s">
        <v>45</v>
      </c>
      <c r="B45" s="5">
        <v>130</v>
      </c>
      <c r="C45" s="5">
        <v>59</v>
      </c>
      <c r="D45" s="5">
        <v>189</v>
      </c>
    </row>
    <row r="46" spans="1:4" x14ac:dyDescent="0.25">
      <c r="A46" s="4" t="s">
        <v>38</v>
      </c>
      <c r="B46" s="5">
        <v>519</v>
      </c>
      <c r="C46" s="5">
        <v>481</v>
      </c>
      <c r="D46" s="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1E74E-5F76-4EC3-9374-8E3DEFEDDE41}">
  <dimension ref="A1:O4"/>
  <sheetViews>
    <sheetView showGridLines="0" topLeftCell="A4" zoomScaleNormal="100" workbookViewId="0">
      <selection activeCell="T20" sqref="T20"/>
    </sheetView>
  </sheetViews>
  <sheetFormatPr defaultRowHeight="15" x14ac:dyDescent="0.25"/>
  <sheetData>
    <row r="1" spans="1:15" x14ac:dyDescent="0.25">
      <c r="A1" s="7" t="s">
        <v>46</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Oluwabiyi Elijah</dc:creator>
  <cp:lastModifiedBy>Oluwabiyi Elijah</cp:lastModifiedBy>
  <dcterms:created xsi:type="dcterms:W3CDTF">2026-06-05T14:20:22Z</dcterms:created>
  <dcterms:modified xsi:type="dcterms:W3CDTF">2026-06-27T14:43:14Z</dcterms:modified>
</cp:coreProperties>
</file>